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isco\Desktop\ESTUDOS\"/>
    </mc:Choice>
  </mc:AlternateContent>
  <xr:revisionPtr revIDLastSave="0" documentId="13_ncr:1_{AF6AB118-6A74-41D2-AF81-2374676FC341}" xr6:coauthVersionLast="47" xr6:coauthVersionMax="47" xr10:uidLastSave="{00000000-0000-0000-0000-000000000000}"/>
  <bookViews>
    <workbookView xWindow="-108" yWindow="-108" windowWidth="23256" windowHeight="12456" firstSheet="1" activeTab="5" xr2:uid="{B1C3B051-BED5-4DAB-B89B-5DC685DA5B01}"/>
  </bookViews>
  <sheets>
    <sheet name="Planilha4" sheetId="4" r:id="rId1"/>
    <sheet name="ABERTURA INDICE" sheetId="7" r:id="rId2"/>
    <sheet name="DOLAR ABERTURA" sheetId="8" r:id="rId3"/>
    <sheet name="DOLAR RED" sheetId="9" r:id="rId4"/>
    <sheet name="DI ABERTURA" sheetId="11" r:id="rId5"/>
    <sheet name="RED INDICE" sheetId="12" r:id="rId6"/>
    <sheet name="RELATORO PERFORMACE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" i="12" l="1"/>
  <c r="L3" i="12"/>
  <c r="G20" i="12" s="1"/>
  <c r="L4" i="12"/>
  <c r="G23" i="12" s="1"/>
  <c r="L2" i="12"/>
  <c r="G30" i="12" s="1"/>
  <c r="B115" i="11"/>
  <c r="G57" i="11" s="1"/>
  <c r="B114" i="11"/>
  <c r="G80" i="11" s="1"/>
  <c r="F90" i="9"/>
  <c r="F77" i="9"/>
  <c r="F75" i="9"/>
  <c r="G86" i="8"/>
  <c r="G75" i="8"/>
  <c r="B117" i="7"/>
  <c r="B116" i="7"/>
  <c r="H82" i="7"/>
  <c r="F68" i="9"/>
  <c r="F65" i="9"/>
  <c r="F59" i="9"/>
  <c r="F58" i="9"/>
  <c r="F57" i="9"/>
  <c r="C77" i="10" s="1"/>
  <c r="F56" i="9"/>
  <c r="F53" i="9"/>
  <c r="F43" i="9"/>
  <c r="F36" i="9"/>
  <c r="F32" i="9"/>
  <c r="F31" i="9"/>
  <c r="F26" i="9"/>
  <c r="F17" i="9"/>
  <c r="F16" i="9"/>
  <c r="F13" i="9"/>
  <c r="F12" i="9"/>
  <c r="F9" i="9"/>
  <c r="F7" i="9"/>
  <c r="F6" i="9"/>
  <c r="F5" i="9"/>
  <c r="F74" i="9"/>
  <c r="F73" i="9"/>
  <c r="F67" i="9"/>
  <c r="F66" i="9"/>
  <c r="F64" i="9"/>
  <c r="F63" i="9"/>
  <c r="F62" i="9"/>
  <c r="F61" i="9"/>
  <c r="F60" i="9"/>
  <c r="F55" i="9"/>
  <c r="F54" i="9"/>
  <c r="F52" i="9"/>
  <c r="C72" i="10" s="1"/>
  <c r="F51" i="9"/>
  <c r="F50" i="9"/>
  <c r="F49" i="9"/>
  <c r="F44" i="9"/>
  <c r="F42" i="9"/>
  <c r="F41" i="9"/>
  <c r="F40" i="9"/>
  <c r="F39" i="9"/>
  <c r="F38" i="9"/>
  <c r="F37" i="9"/>
  <c r="F35" i="9"/>
  <c r="F34" i="9"/>
  <c r="F33" i="9"/>
  <c r="F30" i="9"/>
  <c r="F29" i="9"/>
  <c r="F28" i="9"/>
  <c r="F27" i="9"/>
  <c r="F25" i="9"/>
  <c r="F21" i="9"/>
  <c r="F20" i="9"/>
  <c r="F19" i="9"/>
  <c r="F18" i="9"/>
  <c r="F15" i="9"/>
  <c r="F14" i="9"/>
  <c r="F11" i="9"/>
  <c r="F10" i="9"/>
  <c r="F8" i="9"/>
  <c r="F4" i="9"/>
  <c r="F3" i="9"/>
  <c r="B109" i="9"/>
  <c r="B108" i="9"/>
  <c r="H81" i="7"/>
  <c r="H80" i="7"/>
  <c r="H79" i="7"/>
  <c r="H70" i="7"/>
  <c r="C109" i="7"/>
  <c r="B115" i="7" s="1"/>
  <c r="C106" i="7"/>
  <c r="B113" i="7" s="1"/>
  <c r="C105" i="7"/>
  <c r="B112" i="7" s="1"/>
  <c r="B118" i="7"/>
  <c r="H56" i="7" s="1"/>
  <c r="G74" i="8"/>
  <c r="G73" i="8"/>
  <c r="G72" i="8"/>
  <c r="G66" i="8"/>
  <c r="G65" i="8"/>
  <c r="G64" i="8"/>
  <c r="G63" i="8"/>
  <c r="G62" i="8"/>
  <c r="G61" i="8"/>
  <c r="G60" i="8"/>
  <c r="G59" i="8"/>
  <c r="G58" i="8"/>
  <c r="G57" i="8"/>
  <c r="G56" i="8"/>
  <c r="G54" i="8"/>
  <c r="G53" i="8"/>
  <c r="G52" i="8"/>
  <c r="G51" i="8"/>
  <c r="G49" i="8"/>
  <c r="G48" i="8"/>
  <c r="G47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H40" i="4"/>
  <c r="H39" i="4"/>
  <c r="H38" i="4"/>
  <c r="H37" i="4"/>
  <c r="H36" i="4"/>
  <c r="H35" i="4"/>
  <c r="H33" i="4"/>
  <c r="L3" i="4" s="1"/>
  <c r="H32" i="4"/>
  <c r="K3" i="4" s="1"/>
  <c r="H31" i="4"/>
  <c r="H34" i="4"/>
  <c r="H27" i="4"/>
  <c r="H26" i="4"/>
  <c r="H25" i="4"/>
  <c r="H24" i="4"/>
  <c r="H23" i="4"/>
  <c r="H22" i="4"/>
  <c r="H21" i="4"/>
  <c r="H20" i="4"/>
  <c r="H19" i="4"/>
  <c r="H18" i="4"/>
  <c r="H13" i="4"/>
  <c r="G75" i="12" l="1"/>
  <c r="G65" i="12"/>
  <c r="G76" i="12"/>
  <c r="G66" i="12"/>
  <c r="G79" i="12" s="1"/>
  <c r="G68" i="12"/>
  <c r="G70" i="12"/>
  <c r="G67" i="12"/>
  <c r="G72" i="12"/>
  <c r="G69" i="12"/>
  <c r="G73" i="12"/>
  <c r="G71" i="12"/>
  <c r="G74" i="12"/>
  <c r="G59" i="12"/>
  <c r="G50" i="12"/>
  <c r="G48" i="12"/>
  <c r="G58" i="12"/>
  <c r="G51" i="12"/>
  <c r="G46" i="12"/>
  <c r="G52" i="12"/>
  <c r="G54" i="12"/>
  <c r="G53" i="12"/>
  <c r="G49" i="12"/>
  <c r="G56" i="12"/>
  <c r="G55" i="12"/>
  <c r="G47" i="12"/>
  <c r="G57" i="12"/>
  <c r="G39" i="12"/>
  <c r="G40" i="12"/>
  <c r="G36" i="12"/>
  <c r="G35" i="12"/>
  <c r="G37" i="12"/>
  <c r="G41" i="12"/>
  <c r="G38" i="12"/>
  <c r="G42" i="12"/>
  <c r="G24" i="12"/>
  <c r="G15" i="12"/>
  <c r="G25" i="12"/>
  <c r="G28" i="12"/>
  <c r="G18" i="12"/>
  <c r="G19" i="12"/>
  <c r="G21" i="12"/>
  <c r="G11" i="12"/>
  <c r="G22" i="12"/>
  <c r="G12" i="12"/>
  <c r="G13" i="12"/>
  <c r="G26" i="12"/>
  <c r="G17" i="12"/>
  <c r="G14" i="12"/>
  <c r="G27" i="12"/>
  <c r="G16" i="12"/>
  <c r="G29" i="12"/>
  <c r="G59" i="11"/>
  <c r="C76" i="10" s="1"/>
  <c r="G79" i="11"/>
  <c r="G10" i="11"/>
  <c r="G41" i="11"/>
  <c r="G29" i="11"/>
  <c r="G37" i="11"/>
  <c r="D47" i="10" s="1"/>
  <c r="G52" i="11"/>
  <c r="G11" i="11"/>
  <c r="G22" i="11"/>
  <c r="G45" i="11"/>
  <c r="G30" i="11"/>
  <c r="G66" i="11"/>
  <c r="G23" i="11"/>
  <c r="G67" i="11"/>
  <c r="G5" i="11"/>
  <c r="G31" i="11"/>
  <c r="G44" i="11"/>
  <c r="G71" i="11"/>
  <c r="G13" i="11"/>
  <c r="G28" i="11"/>
  <c r="G56" i="11"/>
  <c r="G68" i="11"/>
  <c r="C85" i="10" s="1"/>
  <c r="G65" i="11"/>
  <c r="C82" i="10" s="1"/>
  <c r="G43" i="11"/>
  <c r="D53" i="10" s="1"/>
  <c r="G12" i="11"/>
  <c r="G47" i="11"/>
  <c r="D57" i="10" s="1"/>
  <c r="G6" i="11"/>
  <c r="G34" i="11"/>
  <c r="G46" i="11"/>
  <c r="G76" i="11"/>
  <c r="G15" i="11"/>
  <c r="G32" i="11"/>
  <c r="G58" i="11"/>
  <c r="G69" i="11"/>
  <c r="G16" i="11"/>
  <c r="G33" i="11"/>
  <c r="D43" i="10" s="1"/>
  <c r="G70" i="11"/>
  <c r="C87" i="10" s="1"/>
  <c r="G17" i="11"/>
  <c r="G39" i="11"/>
  <c r="G54" i="11"/>
  <c r="C71" i="10" s="1"/>
  <c r="G8" i="11"/>
  <c r="C12" i="10" s="1"/>
  <c r="G20" i="11"/>
  <c r="G36" i="11"/>
  <c r="G63" i="11"/>
  <c r="G78" i="11"/>
  <c r="G61" i="11"/>
  <c r="G14" i="11"/>
  <c r="C18" i="10" s="1"/>
  <c r="G38" i="11"/>
  <c r="D48" i="10" s="1"/>
  <c r="G53" i="11"/>
  <c r="G7" i="11"/>
  <c r="G18" i="11"/>
  <c r="G35" i="11"/>
  <c r="G62" i="11"/>
  <c r="G77" i="11"/>
  <c r="G19" i="11"/>
  <c r="G40" i="11"/>
  <c r="G9" i="11"/>
  <c r="G21" i="11"/>
  <c r="G42" i="11"/>
  <c r="G64" i="11"/>
  <c r="C81" i="10" s="1"/>
  <c r="F70" i="9"/>
  <c r="D64" i="10" s="1"/>
  <c r="F46" i="9"/>
  <c r="D33" i="10" s="1"/>
  <c r="F23" i="9"/>
  <c r="D4" i="10" s="1"/>
  <c r="B120" i="7"/>
  <c r="H18" i="7" s="1"/>
  <c r="B119" i="7"/>
  <c r="H58" i="7"/>
  <c r="H68" i="7"/>
  <c r="H6" i="7"/>
  <c r="H14" i="7"/>
  <c r="H22" i="7"/>
  <c r="H46" i="7"/>
  <c r="D56" i="10" s="1"/>
  <c r="H5" i="7"/>
  <c r="C9" i="10" s="1"/>
  <c r="D9" i="10" s="1"/>
  <c r="H7" i="7"/>
  <c r="H23" i="7"/>
  <c r="H8" i="7"/>
  <c r="H52" i="7"/>
  <c r="H63" i="7"/>
  <c r="H55" i="7"/>
  <c r="C73" i="10" s="1"/>
  <c r="H64" i="7"/>
  <c r="H72" i="7"/>
  <c r="H11" i="7"/>
  <c r="H41" i="7"/>
  <c r="D51" i="10" s="1"/>
  <c r="C74" i="10"/>
  <c r="C22" i="10"/>
  <c r="C15" i="10"/>
  <c r="C10" i="10"/>
  <c r="B114" i="7"/>
  <c r="G79" i="8"/>
  <c r="G68" i="8"/>
  <c r="D63" i="10" s="1"/>
  <c r="G44" i="8"/>
  <c r="D32" i="10" s="1"/>
  <c r="G25" i="8"/>
  <c r="D3" i="10" s="1"/>
  <c r="P3" i="4"/>
  <c r="S3" i="4"/>
  <c r="R3" i="4"/>
  <c r="Q3" i="4"/>
  <c r="O3" i="4"/>
  <c r="H41" i="4"/>
  <c r="J3" i="4"/>
  <c r="M3" i="4"/>
  <c r="H28" i="4"/>
  <c r="N3" i="4"/>
  <c r="G61" i="12" l="1"/>
  <c r="G43" i="12"/>
  <c r="G32" i="12"/>
  <c r="C70" i="10"/>
  <c r="C26" i="10"/>
  <c r="G25" i="11"/>
  <c r="D5" i="10" s="1"/>
  <c r="G49" i="11"/>
  <c r="D34" i="10" s="1"/>
  <c r="C27" i="10"/>
  <c r="G73" i="11"/>
  <c r="D65" i="10" s="1"/>
  <c r="G101" i="11"/>
  <c r="C11" i="10"/>
  <c r="H30" i="7"/>
  <c r="D40" i="10" s="1"/>
  <c r="H34" i="7"/>
  <c r="D44" i="10" s="1"/>
  <c r="H32" i="7"/>
  <c r="D42" i="10" s="1"/>
  <c r="H12" i="7"/>
  <c r="C16" i="10" s="1"/>
  <c r="H31" i="7"/>
  <c r="D41" i="10" s="1"/>
  <c r="H29" i="7"/>
  <c r="D39" i="10" s="1"/>
  <c r="H17" i="7"/>
  <c r="C21" i="10" s="1"/>
  <c r="H9" i="7"/>
  <c r="H21" i="7"/>
  <c r="C25" i="10" s="1"/>
  <c r="H39" i="7"/>
  <c r="H45" i="7"/>
  <c r="D55" i="10" s="1"/>
  <c r="H62" i="7"/>
  <c r="C80" i="10" s="1"/>
  <c r="H51" i="7"/>
  <c r="H36" i="7"/>
  <c r="D46" i="10" s="1"/>
  <c r="H15" i="7"/>
  <c r="C19" i="10" s="1"/>
  <c r="H60" i="7"/>
  <c r="C78" i="10" s="1"/>
  <c r="H57" i="7"/>
  <c r="C75" i="10" s="1"/>
  <c r="H69" i="7"/>
  <c r="C88" i="10" s="1"/>
  <c r="H61" i="7"/>
  <c r="C79" i="10" s="1"/>
  <c r="H35" i="7"/>
  <c r="D45" i="10" s="1"/>
  <c r="H13" i="7"/>
  <c r="C17" i="10" s="1"/>
  <c r="H20" i="7"/>
  <c r="C24" i="10" s="1"/>
  <c r="H66" i="7"/>
  <c r="C84" i="10" s="1"/>
  <c r="H19" i="7"/>
  <c r="C23" i="10" s="1"/>
  <c r="H73" i="7"/>
  <c r="H65" i="7"/>
  <c r="C83" i="10" s="1"/>
  <c r="H10" i="7"/>
  <c r="C14" i="10" s="1"/>
  <c r="H42" i="7"/>
  <c r="D52" i="10" s="1"/>
  <c r="H40" i="7"/>
  <c r="D50" i="10" s="1"/>
  <c r="H71" i="7"/>
  <c r="H28" i="7"/>
  <c r="H16" i="7"/>
  <c r="C20" i="10" s="1"/>
  <c r="H67" i="7"/>
  <c r="C86" i="10" s="1"/>
  <c r="H44" i="7"/>
  <c r="D10" i="10"/>
  <c r="H45" i="4"/>
  <c r="U3" i="4"/>
  <c r="B120" i="11" l="1"/>
  <c r="D11" i="10"/>
  <c r="D12" i="10" s="1"/>
  <c r="C69" i="10"/>
  <c r="H75" i="7"/>
  <c r="D54" i="10"/>
  <c r="D49" i="10"/>
  <c r="D38" i="10"/>
  <c r="E38" i="10" s="1"/>
  <c r="E39" i="10" s="1"/>
  <c r="E40" i="10" s="1"/>
  <c r="E41" i="10" s="1"/>
  <c r="E42" i="10" s="1"/>
  <c r="E43" i="10" s="1"/>
  <c r="E44" i="10" s="1"/>
  <c r="E45" i="10" s="1"/>
  <c r="E46" i="10" s="1"/>
  <c r="E47" i="10" s="1"/>
  <c r="E48" i="10" s="1"/>
  <c r="E49" i="10" s="1"/>
  <c r="E50" i="10" s="1"/>
  <c r="E51" i="10" s="1"/>
  <c r="E52" i="10" s="1"/>
  <c r="E53" i="10" s="1"/>
  <c r="E54" i="10" s="1"/>
  <c r="E55" i="10" s="1"/>
  <c r="E56" i="10" s="1"/>
  <c r="E57" i="10" s="1"/>
  <c r="H48" i="7"/>
  <c r="D31" i="10" s="1"/>
  <c r="D35" i="10" s="1"/>
  <c r="C13" i="10"/>
  <c r="C28" i="10" s="1"/>
  <c r="H25" i="7"/>
  <c r="D2" i="10" s="1"/>
  <c r="D6" i="10" s="1"/>
  <c r="J50" i="7" l="1"/>
  <c r="D62" i="10"/>
  <c r="D66" i="10" s="1"/>
  <c r="D13" i="10"/>
  <c r="D14" i="10" s="1"/>
  <c r="D15" i="10" s="1"/>
  <c r="D16" i="10" s="1"/>
  <c r="D17" i="10" s="1"/>
  <c r="D18" i="10" s="1"/>
  <c r="D19" i="10" s="1"/>
  <c r="D20" i="10" s="1"/>
  <c r="D21" i="10" s="1"/>
  <c r="D22" i="10" s="1"/>
  <c r="D23" i="10" s="1"/>
  <c r="D24" i="10" s="1"/>
  <c r="D25" i="10" s="1"/>
  <c r="D26" i="10" s="1"/>
  <c r="D27" i="10" s="1"/>
  <c r="D69" i="10"/>
  <c r="D70" i="10" s="1"/>
  <c r="D71" i="10" s="1"/>
  <c r="D72" i="10" s="1"/>
  <c r="D73" i="10" s="1"/>
  <c r="D74" i="10" s="1"/>
  <c r="D75" i="10" s="1"/>
  <c r="D76" i="10" s="1"/>
  <c r="D77" i="10" s="1"/>
  <c r="D78" i="10" s="1"/>
  <c r="D79" i="10" s="1"/>
  <c r="D80" i="10" s="1"/>
  <c r="D81" i="10" s="1"/>
  <c r="D82" i="10" s="1"/>
  <c r="D83" i="10" s="1"/>
  <c r="D84" i="10" s="1"/>
  <c r="D85" i="10" s="1"/>
  <c r="D86" i="10" s="1"/>
  <c r="D87" i="10" s="1"/>
  <c r="D88" i="10" s="1"/>
  <c r="C89" i="10"/>
</calcChain>
</file>

<file path=xl/sharedStrings.xml><?xml version="1.0" encoding="utf-8"?>
<sst xmlns="http://schemas.openxmlformats.org/spreadsheetml/2006/main" count="1397" uniqueCount="50">
  <si>
    <t>COMPRA</t>
  </si>
  <si>
    <t>VENDA</t>
  </si>
  <si>
    <t>STOP</t>
  </si>
  <si>
    <t>OK</t>
  </si>
  <si>
    <t>NÃO</t>
  </si>
  <si>
    <t>DOLAR ABERTURA</t>
  </si>
  <si>
    <t>CONTRATOS</t>
  </si>
  <si>
    <t>PARCIAL 1</t>
  </si>
  <si>
    <t>INDICE ABERTURA</t>
  </si>
  <si>
    <t>PARCIAL 2</t>
  </si>
  <si>
    <t>RED DOLAR</t>
  </si>
  <si>
    <t>ALVO FINAL</t>
  </si>
  <si>
    <t>ABERTURA INDICE</t>
  </si>
  <si>
    <t>0X0</t>
  </si>
  <si>
    <t>16//03/2026</t>
  </si>
  <si>
    <t>INABILITADO</t>
  </si>
  <si>
    <t>O</t>
  </si>
  <si>
    <t>ABERTURA DOLAR</t>
  </si>
  <si>
    <t>RESUMO DE MARÇO</t>
  </si>
  <si>
    <t>ABERTURA DI</t>
  </si>
  <si>
    <t>RESUMO DE ABRIL</t>
  </si>
  <si>
    <t>COMPRRA</t>
  </si>
  <si>
    <t>INABILITOU</t>
  </si>
  <si>
    <t>RESUMO DE MAIO</t>
  </si>
  <si>
    <t>PROTEÇÃO</t>
  </si>
  <si>
    <t>VALOR POR PONTO</t>
  </si>
  <si>
    <t>PROTEÇÃO 1</t>
  </si>
  <si>
    <t>PROTEÇÃO 2</t>
  </si>
  <si>
    <t>PROTEÇÃO1 + PARCIAL1</t>
  </si>
  <si>
    <t>PROTEÇÃO2 +PARCIAL2</t>
  </si>
  <si>
    <t>A. FINAL + PARCIAL1 + PARCIAL 2</t>
  </si>
  <si>
    <t>PARC. 1</t>
  </si>
  <si>
    <t>PARC. 2</t>
  </si>
  <si>
    <t>ALVO F.</t>
  </si>
  <si>
    <t>B100</t>
  </si>
  <si>
    <t>B98</t>
  </si>
  <si>
    <t>B99</t>
  </si>
  <si>
    <t>B102</t>
  </si>
  <si>
    <t>TAKE</t>
  </si>
  <si>
    <t>V. TAKE</t>
  </si>
  <si>
    <t>V. STOP</t>
  </si>
  <si>
    <t>REFERENCIA STOP</t>
  </si>
  <si>
    <t>REFERENCIA TAKE</t>
  </si>
  <si>
    <t>RESULTADO TOTAL</t>
  </si>
  <si>
    <t>stop</t>
  </si>
  <si>
    <t>take</t>
  </si>
  <si>
    <t>rede indice</t>
  </si>
  <si>
    <t>a favor da abertura</t>
  </si>
  <si>
    <t>breakeven</t>
  </si>
  <si>
    <t>10 pontos a favor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</si>
</sst>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rgb="FFFF0000"/>
      <name val="Aptos Narrow"/>
      <family val="2"/>
      <scheme val="minor"/>
    </font>
    <font>
      <b/>
      <u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.5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16" fontId="4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4" fillId="0" borderId="0" xfId="0" applyNumberFormat="1" applyFont="1"/>
    <xf numFmtId="164" fontId="5" fillId="0" borderId="0" xfId="0" applyNumberFormat="1" applyFont="1" applyAlignment="1">
      <alignment horizontal="center"/>
    </xf>
    <xf numFmtId="14" fontId="4" fillId="0" borderId="0" xfId="0" applyNumberFormat="1" applyFont="1"/>
    <xf numFmtId="164" fontId="7" fillId="0" borderId="0" xfId="0" applyNumberFormat="1" applyFont="1" applyAlignment="1">
      <alignment horizontal="center"/>
    </xf>
    <xf numFmtId="164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center"/>
    </xf>
    <xf numFmtId="164" fontId="10" fillId="0" borderId="0" xfId="0" applyNumberFormat="1" applyFont="1" applyAlignment="1">
      <alignment horizontal="center"/>
    </xf>
    <xf numFmtId="164" fontId="10" fillId="0" borderId="0" xfId="0" applyNumberFormat="1" applyFont="1"/>
    <xf numFmtId="164" fontId="11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3" fillId="0" borderId="0" xfId="0" applyNumberFormat="1" applyFont="1"/>
    <xf numFmtId="164" fontId="12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B330D-AD98-4BD3-8AE7-DB95404F935E}">
  <dimension ref="A1:U48"/>
  <sheetViews>
    <sheetView workbookViewId="0">
      <selection activeCell="J2" sqref="J2:S2"/>
    </sheetView>
  </sheetViews>
  <sheetFormatPr defaultRowHeight="14.4" x14ac:dyDescent="0.3"/>
  <cols>
    <col min="1" max="1" width="9.109375" bestFit="1" customWidth="1"/>
    <col min="2" max="2" width="8.109375" bestFit="1" customWidth="1"/>
    <col min="3" max="3" width="6.6640625" bestFit="1" customWidth="1"/>
    <col min="4" max="4" width="4.33203125" bestFit="1" customWidth="1"/>
    <col min="5" max="6" width="7.44140625" bestFit="1" customWidth="1"/>
    <col min="7" max="7" width="8.5546875" bestFit="1" customWidth="1"/>
    <col min="8" max="8" width="9.21875" bestFit="1" customWidth="1"/>
    <col min="9" max="9" width="3.6640625" customWidth="1"/>
    <col min="10" max="10" width="8.33203125" bestFit="1" customWidth="1"/>
    <col min="11" max="11" width="8.88671875" bestFit="1" customWidth="1"/>
    <col min="12" max="14" width="8.33203125" bestFit="1" customWidth="1"/>
    <col min="15" max="17" width="8.88671875" bestFit="1" customWidth="1"/>
    <col min="18" max="19" width="8.33203125" bestFit="1" customWidth="1"/>
    <col min="21" max="21" width="11.5546875" bestFit="1" customWidth="1"/>
  </cols>
  <sheetData>
    <row r="1" spans="1:21" x14ac:dyDescent="0.3">
      <c r="A1" s="8" t="s">
        <v>6</v>
      </c>
      <c r="B1" s="8">
        <v>14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</row>
    <row r="2" spans="1:21" x14ac:dyDescent="0.3">
      <c r="A2" s="30" t="s">
        <v>8</v>
      </c>
      <c r="B2" s="30"/>
      <c r="C2" s="30"/>
      <c r="D2" s="8" t="s">
        <v>2</v>
      </c>
      <c r="E2" s="8" t="s">
        <v>7</v>
      </c>
      <c r="F2" s="8" t="s">
        <v>9</v>
      </c>
      <c r="G2" s="8" t="s">
        <v>11</v>
      </c>
      <c r="H2" s="8"/>
      <c r="I2" s="8"/>
      <c r="J2" s="10">
        <v>46162</v>
      </c>
      <c r="K2" s="10">
        <v>46163</v>
      </c>
      <c r="L2" s="10">
        <v>46164</v>
      </c>
      <c r="M2" s="10">
        <v>46167</v>
      </c>
      <c r="N2" s="10">
        <v>46169</v>
      </c>
      <c r="O2" s="10">
        <v>46170</v>
      </c>
      <c r="P2" s="10">
        <v>46171</v>
      </c>
      <c r="Q2" s="10">
        <v>46174</v>
      </c>
      <c r="R2" s="10">
        <v>46175</v>
      </c>
      <c r="S2" s="10">
        <v>46176</v>
      </c>
      <c r="T2" s="9"/>
      <c r="U2" s="9"/>
    </row>
    <row r="3" spans="1:21" x14ac:dyDescent="0.3">
      <c r="A3" s="8">
        <v>1</v>
      </c>
      <c r="B3" s="11">
        <v>46162</v>
      </c>
      <c r="C3" s="8" t="s">
        <v>0</v>
      </c>
      <c r="D3" s="8" t="s">
        <v>4</v>
      </c>
      <c r="E3" s="8" t="s">
        <v>3</v>
      </c>
      <c r="F3" s="8" t="s">
        <v>3</v>
      </c>
      <c r="G3" s="8" t="s">
        <v>3</v>
      </c>
      <c r="H3" s="12">
        <v>2160</v>
      </c>
      <c r="I3" s="8"/>
      <c r="J3" s="13">
        <f>H3+H18+H31</f>
        <v>2205</v>
      </c>
      <c r="K3" s="13">
        <f>H4+H19+H32</f>
        <v>-1635</v>
      </c>
      <c r="L3" s="13">
        <f>H5+H20+H33</f>
        <v>2505</v>
      </c>
      <c r="M3" s="13">
        <f>H6+H21+H34</f>
        <v>2670</v>
      </c>
      <c r="N3" s="13">
        <f>H7+H22+H35</f>
        <v>2505</v>
      </c>
      <c r="O3" s="13">
        <f>H8+H23+H36</f>
        <v>-1635</v>
      </c>
      <c r="P3" s="13">
        <f>H9+H24+H37</f>
        <v>-1200</v>
      </c>
      <c r="Q3" s="13">
        <f>H10+H25+H38</f>
        <v>-1200</v>
      </c>
      <c r="R3" s="13">
        <f>H11+H26+H39</f>
        <v>2505</v>
      </c>
      <c r="S3" s="13">
        <f>H12+H27+H40</f>
        <v>3915</v>
      </c>
      <c r="T3" s="9"/>
      <c r="U3" s="17">
        <f>SUM(J3:T3)</f>
        <v>10635</v>
      </c>
    </row>
    <row r="4" spans="1:21" x14ac:dyDescent="0.3">
      <c r="A4" s="8">
        <v>2</v>
      </c>
      <c r="B4" s="11">
        <v>46163</v>
      </c>
      <c r="C4" s="8" t="s">
        <v>1</v>
      </c>
      <c r="D4" s="8" t="s">
        <v>3</v>
      </c>
      <c r="E4" s="8" t="s">
        <v>4</v>
      </c>
      <c r="F4" s="8" t="s">
        <v>4</v>
      </c>
      <c r="G4" s="8" t="s">
        <v>4</v>
      </c>
      <c r="H4" s="12">
        <v>-1680</v>
      </c>
      <c r="I4" s="8"/>
      <c r="J4" s="9"/>
      <c r="K4" s="13"/>
      <c r="L4" s="9"/>
      <c r="M4" s="9"/>
      <c r="N4" s="9"/>
      <c r="O4" s="9"/>
      <c r="P4" s="9"/>
      <c r="Q4" s="9"/>
      <c r="R4" s="9"/>
      <c r="S4" s="9"/>
      <c r="T4" s="9"/>
      <c r="U4" s="13"/>
    </row>
    <row r="5" spans="1:21" x14ac:dyDescent="0.3">
      <c r="A5" s="8">
        <v>3</v>
      </c>
      <c r="B5" s="11">
        <v>46164</v>
      </c>
      <c r="C5" s="8" t="s">
        <v>0</v>
      </c>
      <c r="D5" s="8" t="s">
        <v>4</v>
      </c>
      <c r="E5" s="8" t="s">
        <v>3</v>
      </c>
      <c r="F5" s="8" t="s">
        <v>4</v>
      </c>
      <c r="G5" s="8" t="s">
        <v>4</v>
      </c>
      <c r="H5" s="12">
        <v>210</v>
      </c>
      <c r="I5" s="8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spans="1:21" x14ac:dyDescent="0.3">
      <c r="A6" s="8">
        <v>4</v>
      </c>
      <c r="B6" s="11">
        <v>46167</v>
      </c>
      <c r="C6" s="8" t="s">
        <v>0</v>
      </c>
      <c r="D6" s="8" t="s">
        <v>4</v>
      </c>
      <c r="E6" s="8" t="s">
        <v>3</v>
      </c>
      <c r="F6" s="8" t="s">
        <v>3</v>
      </c>
      <c r="G6" s="8" t="s">
        <v>4</v>
      </c>
      <c r="H6" s="12">
        <v>810</v>
      </c>
      <c r="I6" s="8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spans="1:21" x14ac:dyDescent="0.3">
      <c r="A7" s="8">
        <v>5</v>
      </c>
      <c r="B7" s="11">
        <v>46169</v>
      </c>
      <c r="C7" s="8" t="s">
        <v>1</v>
      </c>
      <c r="D7" s="8" t="s">
        <v>4</v>
      </c>
      <c r="E7" s="8" t="s">
        <v>3</v>
      </c>
      <c r="F7" s="8" t="s">
        <v>4</v>
      </c>
      <c r="G7" s="8" t="s">
        <v>4</v>
      </c>
      <c r="H7" s="12">
        <v>210</v>
      </c>
      <c r="I7" s="8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spans="1:21" x14ac:dyDescent="0.3">
      <c r="A8" s="8">
        <v>6</v>
      </c>
      <c r="B8" s="11">
        <v>46170</v>
      </c>
      <c r="C8" s="8" t="s">
        <v>1</v>
      </c>
      <c r="D8" s="8" t="s">
        <v>3</v>
      </c>
      <c r="E8" s="8" t="s">
        <v>4</v>
      </c>
      <c r="F8" s="8" t="s">
        <v>4</v>
      </c>
      <c r="G8" s="8" t="s">
        <v>4</v>
      </c>
      <c r="H8" s="12">
        <v>-1680</v>
      </c>
      <c r="I8" s="8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spans="1:21" x14ac:dyDescent="0.3">
      <c r="A9" s="8">
        <v>7</v>
      </c>
      <c r="B9" s="11">
        <v>46171</v>
      </c>
      <c r="C9" s="8" t="s">
        <v>1</v>
      </c>
      <c r="D9" s="8" t="s">
        <v>4</v>
      </c>
      <c r="E9" s="8" t="s">
        <v>3</v>
      </c>
      <c r="F9" s="8" t="s">
        <v>3</v>
      </c>
      <c r="G9" s="8" t="s">
        <v>4</v>
      </c>
      <c r="H9" s="12">
        <v>810</v>
      </c>
      <c r="I9" s="8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</row>
    <row r="10" spans="1:21" x14ac:dyDescent="0.3">
      <c r="A10" s="8">
        <v>8</v>
      </c>
      <c r="B10" s="11">
        <v>46174</v>
      </c>
      <c r="C10" s="8" t="s">
        <v>0</v>
      </c>
      <c r="D10" s="8" t="s">
        <v>4</v>
      </c>
      <c r="E10" s="8" t="s">
        <v>3</v>
      </c>
      <c r="F10" s="8" t="s">
        <v>3</v>
      </c>
      <c r="G10" s="8" t="s">
        <v>4</v>
      </c>
      <c r="H10" s="12">
        <v>810</v>
      </c>
      <c r="I10" s="8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</row>
    <row r="11" spans="1:21" x14ac:dyDescent="0.3">
      <c r="A11" s="8">
        <v>9</v>
      </c>
      <c r="B11" s="11">
        <v>46175</v>
      </c>
      <c r="C11" s="8" t="s">
        <v>0</v>
      </c>
      <c r="D11" s="8" t="s">
        <v>4</v>
      </c>
      <c r="E11" s="8" t="s">
        <v>3</v>
      </c>
      <c r="F11" s="8" t="s">
        <v>4</v>
      </c>
      <c r="G11" s="8" t="s">
        <v>4</v>
      </c>
      <c r="H11" s="12">
        <v>210</v>
      </c>
      <c r="I11" s="8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</row>
    <row r="12" spans="1:21" x14ac:dyDescent="0.3">
      <c r="A12" s="8">
        <v>10</v>
      </c>
      <c r="B12" s="11">
        <v>46176</v>
      </c>
      <c r="C12" s="8" t="s">
        <v>1</v>
      </c>
      <c r="D12" s="8" t="s">
        <v>4</v>
      </c>
      <c r="E12" s="8" t="s">
        <v>3</v>
      </c>
      <c r="F12" s="8" t="s">
        <v>3</v>
      </c>
      <c r="G12" s="8" t="s">
        <v>3</v>
      </c>
      <c r="H12" s="12">
        <v>2160</v>
      </c>
      <c r="I12" s="8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spans="1:21" x14ac:dyDescent="0.3">
      <c r="A13" s="8"/>
      <c r="B13" s="8"/>
      <c r="C13" s="8"/>
      <c r="D13" s="8"/>
      <c r="E13" s="8"/>
      <c r="F13" s="8"/>
      <c r="G13" s="8"/>
      <c r="H13" s="14">
        <f>SUM(H3:H12)</f>
        <v>4020</v>
      </c>
      <c r="I13" s="8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</row>
    <row r="14" spans="1:21" x14ac:dyDescent="0.3">
      <c r="A14" s="8"/>
      <c r="B14" s="8"/>
      <c r="C14" s="8"/>
      <c r="D14" s="8"/>
      <c r="E14" s="8"/>
      <c r="F14" s="8"/>
      <c r="G14" s="8"/>
      <c r="H14" s="8"/>
      <c r="I14" s="8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spans="1:21" x14ac:dyDescent="0.3">
      <c r="A15" s="8"/>
      <c r="B15" s="8"/>
      <c r="C15" s="8"/>
      <c r="D15" s="8"/>
      <c r="E15" s="8"/>
      <c r="F15" s="8"/>
      <c r="G15" s="8"/>
      <c r="H15" s="8"/>
      <c r="I15" s="8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x14ac:dyDescent="0.3">
      <c r="A16" s="8" t="s">
        <v>6</v>
      </c>
      <c r="B16" s="8">
        <v>18</v>
      </c>
      <c r="C16" s="8"/>
      <c r="D16" s="8" t="s">
        <v>2</v>
      </c>
      <c r="E16" s="8" t="s">
        <v>7</v>
      </c>
      <c r="F16" s="8"/>
      <c r="G16" s="8" t="s">
        <v>11</v>
      </c>
      <c r="H16" s="8"/>
      <c r="I16" s="8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x14ac:dyDescent="0.3">
      <c r="A17" s="30" t="s">
        <v>5</v>
      </c>
      <c r="B17" s="30"/>
      <c r="C17" s="30"/>
      <c r="D17" s="8"/>
      <c r="E17" s="8"/>
      <c r="F17" s="8"/>
      <c r="G17" s="8"/>
      <c r="H17" s="12"/>
      <c r="I17" s="8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</row>
    <row r="18" spans="1:21" x14ac:dyDescent="0.3">
      <c r="A18" s="8">
        <v>1</v>
      </c>
      <c r="B18" s="11">
        <v>46162</v>
      </c>
      <c r="C18" s="8" t="s">
        <v>1</v>
      </c>
      <c r="D18" s="8" t="s">
        <v>3</v>
      </c>
      <c r="E18" s="8"/>
      <c r="F18" s="8"/>
      <c r="G18" s="8" t="s">
        <v>4</v>
      </c>
      <c r="H18" s="12">
        <f>-B16*12*10</f>
        <v>-2160</v>
      </c>
      <c r="I18" s="8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</row>
    <row r="19" spans="1:21" x14ac:dyDescent="0.3">
      <c r="A19" s="8">
        <v>2</v>
      </c>
      <c r="B19" s="11">
        <v>46163</v>
      </c>
      <c r="C19" s="8" t="s">
        <v>0</v>
      </c>
      <c r="D19" s="8" t="s">
        <v>3</v>
      </c>
      <c r="E19" s="8"/>
      <c r="F19" s="8"/>
      <c r="G19" s="8" t="s">
        <v>4</v>
      </c>
      <c r="H19" s="12">
        <f>-B16*12*10</f>
        <v>-2160</v>
      </c>
      <c r="I19" s="8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</row>
    <row r="20" spans="1:21" x14ac:dyDescent="0.3">
      <c r="A20" s="8">
        <v>3</v>
      </c>
      <c r="B20" s="11">
        <v>46164</v>
      </c>
      <c r="C20" s="8" t="s">
        <v>1</v>
      </c>
      <c r="D20" s="8" t="s">
        <v>4</v>
      </c>
      <c r="E20" s="8" t="s">
        <v>3</v>
      </c>
      <c r="F20" s="8"/>
      <c r="G20" s="8"/>
      <c r="H20" s="12">
        <f>B16*10*0.5</f>
        <v>90</v>
      </c>
      <c r="I20" s="8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</row>
    <row r="21" spans="1:21" x14ac:dyDescent="0.3">
      <c r="A21" s="8">
        <v>4</v>
      </c>
      <c r="B21" s="11">
        <v>46167</v>
      </c>
      <c r="C21" s="8" t="s">
        <v>1</v>
      </c>
      <c r="D21" s="8" t="s">
        <v>4</v>
      </c>
      <c r="E21" s="8" t="s">
        <v>3</v>
      </c>
      <c r="F21" s="8"/>
      <c r="G21" s="8" t="s">
        <v>3</v>
      </c>
      <c r="H21" s="12">
        <f>B16*22*10</f>
        <v>3960</v>
      </c>
      <c r="I21" s="8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</row>
    <row r="22" spans="1:21" x14ac:dyDescent="0.3">
      <c r="A22" s="8">
        <v>5</v>
      </c>
      <c r="B22" s="11">
        <v>46169</v>
      </c>
      <c r="C22" s="8" t="s">
        <v>0</v>
      </c>
      <c r="D22" s="8" t="s">
        <v>4</v>
      </c>
      <c r="E22" s="8" t="s">
        <v>3</v>
      </c>
      <c r="F22" s="8"/>
      <c r="G22" s="8"/>
      <c r="H22" s="12">
        <f>B16*10*0.5</f>
        <v>90</v>
      </c>
      <c r="I22" s="8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</row>
    <row r="23" spans="1:21" x14ac:dyDescent="0.3">
      <c r="A23" s="8">
        <v>6</v>
      </c>
      <c r="B23" s="11">
        <v>46170</v>
      </c>
      <c r="C23" s="8" t="s">
        <v>0</v>
      </c>
      <c r="D23" s="8" t="s">
        <v>3</v>
      </c>
      <c r="E23" s="8"/>
      <c r="F23" s="8"/>
      <c r="G23" s="8" t="s">
        <v>4</v>
      </c>
      <c r="H23" s="12">
        <f>-B16*10*12</f>
        <v>-2160</v>
      </c>
      <c r="I23" s="8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</row>
    <row r="24" spans="1:21" x14ac:dyDescent="0.3">
      <c r="A24" s="8">
        <v>7</v>
      </c>
      <c r="B24" s="11">
        <v>46171</v>
      </c>
      <c r="C24" s="8" t="s">
        <v>0</v>
      </c>
      <c r="D24" s="8" t="s">
        <v>4</v>
      </c>
      <c r="E24" s="8" t="s">
        <v>3</v>
      </c>
      <c r="F24" s="8"/>
      <c r="G24" s="8" t="s">
        <v>4</v>
      </c>
      <c r="H24" s="12">
        <f>B16*10*0.5</f>
        <v>90</v>
      </c>
      <c r="I24" s="8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</row>
    <row r="25" spans="1:21" x14ac:dyDescent="0.3">
      <c r="A25" s="8">
        <v>8</v>
      </c>
      <c r="B25" s="11">
        <v>46174</v>
      </c>
      <c r="C25" s="8" t="s">
        <v>1</v>
      </c>
      <c r="D25" s="8" t="s">
        <v>4</v>
      </c>
      <c r="E25" s="8" t="s">
        <v>3</v>
      </c>
      <c r="F25" s="8"/>
      <c r="G25" s="8" t="s">
        <v>4</v>
      </c>
      <c r="H25" s="12">
        <f>B16*10*0.5</f>
        <v>90</v>
      </c>
      <c r="I25" s="8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</row>
    <row r="26" spans="1:21" x14ac:dyDescent="0.3">
      <c r="A26" s="8">
        <v>9</v>
      </c>
      <c r="B26" s="11">
        <v>46175</v>
      </c>
      <c r="C26" s="8" t="s">
        <v>1</v>
      </c>
      <c r="D26" s="8" t="s">
        <v>4</v>
      </c>
      <c r="E26" s="8" t="s">
        <v>3</v>
      </c>
      <c r="F26" s="8"/>
      <c r="G26" s="8" t="s">
        <v>4</v>
      </c>
      <c r="H26" s="12">
        <f>B16*10*0.5</f>
        <v>90</v>
      </c>
      <c r="I26" s="8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spans="1:21" x14ac:dyDescent="0.3">
      <c r="A27" s="8">
        <v>10</v>
      </c>
      <c r="B27" s="11">
        <v>46176</v>
      </c>
      <c r="C27" s="8" t="s">
        <v>0</v>
      </c>
      <c r="D27" s="8" t="s">
        <v>4</v>
      </c>
      <c r="E27" s="8" t="s">
        <v>3</v>
      </c>
      <c r="F27" s="8"/>
      <c r="G27" s="8" t="s">
        <v>3</v>
      </c>
      <c r="H27" s="12">
        <f>B16*10*22</f>
        <v>3960</v>
      </c>
      <c r="I27" s="8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spans="1:21" x14ac:dyDescent="0.3">
      <c r="A28" s="8"/>
      <c r="B28" s="8"/>
      <c r="C28" s="8"/>
      <c r="D28" s="8"/>
      <c r="E28" s="8"/>
      <c r="F28" s="8"/>
      <c r="G28" s="8"/>
      <c r="H28" s="14">
        <f>SUM(H18:H27)</f>
        <v>1890</v>
      </c>
      <c r="I28" s="8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1" x14ac:dyDescent="0.3">
      <c r="A29" s="8" t="s">
        <v>6</v>
      </c>
      <c r="B29" s="8">
        <v>21</v>
      </c>
      <c r="C29" s="8"/>
      <c r="D29" s="8"/>
      <c r="E29" s="8"/>
      <c r="F29" s="8"/>
      <c r="G29" s="8"/>
      <c r="H29" s="12"/>
      <c r="I29" s="8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</row>
    <row r="30" spans="1:21" x14ac:dyDescent="0.3">
      <c r="A30" s="31" t="s">
        <v>10</v>
      </c>
      <c r="B30" s="31"/>
      <c r="C30" s="31"/>
      <c r="D30" s="8"/>
      <c r="E30" s="8"/>
      <c r="F30" s="8"/>
      <c r="G30" s="8"/>
      <c r="H30" s="12"/>
      <c r="I30" s="8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1" x14ac:dyDescent="0.3">
      <c r="A31" s="8">
        <v>1</v>
      </c>
      <c r="B31" s="15">
        <v>46162</v>
      </c>
      <c r="C31" s="9" t="s">
        <v>0</v>
      </c>
      <c r="D31" s="9" t="s">
        <v>4</v>
      </c>
      <c r="E31" s="9"/>
      <c r="F31" s="9"/>
      <c r="G31" s="9" t="s">
        <v>3</v>
      </c>
      <c r="H31" s="12">
        <f>B29*10.5*10</f>
        <v>2205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1" x14ac:dyDescent="0.3">
      <c r="A32" s="8">
        <v>2</v>
      </c>
      <c r="B32" s="15">
        <v>46163</v>
      </c>
      <c r="C32" s="9" t="s">
        <v>0</v>
      </c>
      <c r="D32" s="9" t="s">
        <v>4</v>
      </c>
      <c r="E32" s="9"/>
      <c r="F32" s="9"/>
      <c r="G32" s="9" t="s">
        <v>3</v>
      </c>
      <c r="H32" s="12">
        <f>B29*10.5*10</f>
        <v>2205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8">
        <v>3</v>
      </c>
      <c r="B33" s="15">
        <v>46164</v>
      </c>
      <c r="C33" s="9" t="s">
        <v>0</v>
      </c>
      <c r="D33" s="9" t="s">
        <v>4</v>
      </c>
      <c r="E33" s="9"/>
      <c r="F33" s="9"/>
      <c r="G33" s="9" t="s">
        <v>3</v>
      </c>
      <c r="H33" s="12">
        <f>B29*10.5*10</f>
        <v>2205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8">
        <v>4</v>
      </c>
      <c r="B34" s="15">
        <v>46167</v>
      </c>
      <c r="C34" s="9" t="s">
        <v>0</v>
      </c>
      <c r="D34" s="9" t="s">
        <v>3</v>
      </c>
      <c r="E34" s="9"/>
      <c r="F34" s="9"/>
      <c r="G34" s="9" t="s">
        <v>4</v>
      </c>
      <c r="H34" s="12">
        <f>-B29*10*10</f>
        <v>-2100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8">
        <v>5</v>
      </c>
      <c r="B35" s="15">
        <v>46169</v>
      </c>
      <c r="C35" s="9" t="s">
        <v>1</v>
      </c>
      <c r="D35" s="9" t="s">
        <v>4</v>
      </c>
      <c r="E35" s="9"/>
      <c r="F35" s="9"/>
      <c r="G35" s="9" t="s">
        <v>3</v>
      </c>
      <c r="H35" s="12">
        <f>B29*10.5*10</f>
        <v>2205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8">
        <v>6</v>
      </c>
      <c r="B36" s="15">
        <v>46170</v>
      </c>
      <c r="C36" s="9" t="s">
        <v>1</v>
      </c>
      <c r="D36" s="9" t="s">
        <v>4</v>
      </c>
      <c r="E36" s="9"/>
      <c r="F36" s="9"/>
      <c r="G36" s="9" t="s">
        <v>3</v>
      </c>
      <c r="H36" s="12">
        <f>B29*10.5*10</f>
        <v>2205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8">
        <v>7</v>
      </c>
      <c r="B37" s="15">
        <v>46171</v>
      </c>
      <c r="C37" s="9" t="s">
        <v>1</v>
      </c>
      <c r="D37" s="9" t="s">
        <v>3</v>
      </c>
      <c r="E37" s="9"/>
      <c r="F37" s="9"/>
      <c r="G37" s="9" t="s">
        <v>4</v>
      </c>
      <c r="H37" s="12">
        <f>-B29*10*10</f>
        <v>-2100</v>
      </c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8">
        <v>8</v>
      </c>
      <c r="B38" s="15">
        <v>46174</v>
      </c>
      <c r="C38" s="9" t="s">
        <v>0</v>
      </c>
      <c r="D38" s="9" t="s">
        <v>3</v>
      </c>
      <c r="E38" s="9"/>
      <c r="F38" s="9"/>
      <c r="G38" s="9" t="s">
        <v>4</v>
      </c>
      <c r="H38" s="12">
        <f>-B29*10*10</f>
        <v>-2100</v>
      </c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8">
        <v>9</v>
      </c>
      <c r="B39" s="15">
        <v>46175</v>
      </c>
      <c r="C39" s="9" t="s">
        <v>0</v>
      </c>
      <c r="D39" s="9" t="s">
        <v>4</v>
      </c>
      <c r="E39" s="9"/>
      <c r="F39" s="9"/>
      <c r="G39" s="9" t="s">
        <v>3</v>
      </c>
      <c r="H39" s="12">
        <f>B29*10.5*10</f>
        <v>2205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  <row r="40" spans="1:21" x14ac:dyDescent="0.3">
      <c r="A40" s="8">
        <v>10</v>
      </c>
      <c r="B40" s="15">
        <v>46176</v>
      </c>
      <c r="C40" s="9" t="s">
        <v>1</v>
      </c>
      <c r="D40" s="9" t="s">
        <v>3</v>
      </c>
      <c r="E40" s="9"/>
      <c r="F40" s="9"/>
      <c r="G40" s="9" t="s">
        <v>4</v>
      </c>
      <c r="H40" s="12">
        <f>-B29*10.5*10</f>
        <v>-2205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</row>
    <row r="41" spans="1:21" x14ac:dyDescent="0.3">
      <c r="A41" s="9"/>
      <c r="B41" s="9"/>
      <c r="C41" s="9"/>
      <c r="D41" s="9"/>
      <c r="E41" s="9"/>
      <c r="F41" s="9"/>
      <c r="G41" s="9"/>
      <c r="H41" s="14">
        <f>SUM(H31:H40)</f>
        <v>4725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</row>
    <row r="42" spans="1:21" x14ac:dyDescent="0.3">
      <c r="A42" s="9"/>
      <c r="B42" s="9"/>
      <c r="C42" s="9"/>
      <c r="D42" s="9"/>
      <c r="E42" s="9"/>
      <c r="F42" s="9"/>
      <c r="G42" s="9"/>
      <c r="H42" s="12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</row>
    <row r="43" spans="1:21" x14ac:dyDescent="0.3">
      <c r="A43" s="9"/>
      <c r="B43" s="9"/>
      <c r="C43" s="9"/>
      <c r="D43" s="9"/>
      <c r="E43" s="9"/>
      <c r="F43" s="9"/>
      <c r="G43" s="9"/>
      <c r="H43" s="12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</row>
    <row r="44" spans="1:21" x14ac:dyDescent="0.3">
      <c r="A44" s="9"/>
      <c r="B44" s="9"/>
      <c r="C44" s="9"/>
      <c r="D44" s="9"/>
      <c r="E44" s="9"/>
      <c r="F44" s="9"/>
      <c r="G44" s="9"/>
      <c r="H44" s="12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</row>
    <row r="45" spans="1:21" x14ac:dyDescent="0.3">
      <c r="A45" s="9"/>
      <c r="B45" s="9"/>
      <c r="C45" s="9"/>
      <c r="D45" s="9"/>
      <c r="E45" s="9"/>
      <c r="F45" s="9"/>
      <c r="G45" s="9"/>
      <c r="H45" s="16">
        <f>H13+H28+H41</f>
        <v>10635</v>
      </c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</row>
    <row r="46" spans="1:21" x14ac:dyDescent="0.3">
      <c r="A46" s="9"/>
      <c r="B46" s="9"/>
      <c r="C46" s="9"/>
      <c r="D46" s="9"/>
      <c r="E46" s="9"/>
      <c r="F46" s="9"/>
      <c r="G46" s="9"/>
      <c r="H46" s="13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</row>
    <row r="47" spans="1:21" x14ac:dyDescent="0.3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</row>
    <row r="48" spans="1:21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</row>
  </sheetData>
  <mergeCells count="3">
    <mergeCell ref="A2:C2"/>
    <mergeCell ref="A17:C17"/>
    <mergeCell ref="A30:C30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F8701-14F8-47F0-B906-7CD691D2E32F}">
  <dimension ref="A1:Q123"/>
  <sheetViews>
    <sheetView topLeftCell="A66" workbookViewId="0">
      <selection activeCell="C12" sqref="C12"/>
    </sheetView>
  </sheetViews>
  <sheetFormatPr defaultRowHeight="14.4" x14ac:dyDescent="0.3"/>
  <cols>
    <col min="1" max="1" width="27.88671875" bestFit="1" customWidth="1"/>
    <col min="2" max="2" width="11.109375" bestFit="1" customWidth="1"/>
    <col min="3" max="3" width="10.6640625" bestFit="1" customWidth="1"/>
    <col min="4" max="4" width="15.5546875" bestFit="1" customWidth="1"/>
    <col min="7" max="7" width="9.88671875" bestFit="1" customWidth="1"/>
    <col min="8" max="8" width="11.5546875" bestFit="1" customWidth="1"/>
    <col min="13" max="13" width="5" bestFit="1" customWidth="1"/>
    <col min="14" max="15" width="7" bestFit="1" customWidth="1"/>
    <col min="16" max="16" width="6.77734375" bestFit="1" customWidth="1"/>
  </cols>
  <sheetData>
    <row r="1" spans="1:17" x14ac:dyDescent="0.3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7" x14ac:dyDescent="0.3">
      <c r="A2" s="21" t="s">
        <v>6</v>
      </c>
      <c r="B2" s="21">
        <v>21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1" t="s">
        <v>2</v>
      </c>
      <c r="N2" s="21" t="s">
        <v>31</v>
      </c>
      <c r="O2" s="21" t="s">
        <v>32</v>
      </c>
      <c r="P2" s="21" t="s">
        <v>33</v>
      </c>
      <c r="Q2" s="2"/>
    </row>
    <row r="3" spans="1:17" x14ac:dyDescent="0.3">
      <c r="A3" s="32" t="s">
        <v>8</v>
      </c>
      <c r="B3" s="32"/>
      <c r="C3" s="32"/>
      <c r="D3" s="21" t="s">
        <v>2</v>
      </c>
      <c r="E3" s="21" t="s">
        <v>7</v>
      </c>
      <c r="F3" s="21" t="s">
        <v>9</v>
      </c>
      <c r="G3" s="21" t="s">
        <v>11</v>
      </c>
      <c r="H3" s="21"/>
      <c r="I3" s="20"/>
      <c r="J3" s="20"/>
      <c r="K3" s="24"/>
      <c r="L3" s="20"/>
      <c r="M3" s="21" t="s">
        <v>34</v>
      </c>
      <c r="N3" s="21" t="s">
        <v>35</v>
      </c>
      <c r="O3" s="21" t="s">
        <v>36</v>
      </c>
      <c r="P3" s="21" t="s">
        <v>37</v>
      </c>
      <c r="Q3" s="2"/>
    </row>
    <row r="4" spans="1:17" x14ac:dyDescent="0.3">
      <c r="A4" s="21"/>
      <c r="B4" s="21"/>
      <c r="C4" s="21"/>
      <c r="D4" s="21"/>
      <c r="E4" s="21"/>
      <c r="F4" s="21"/>
      <c r="G4" s="21"/>
      <c r="H4" s="21"/>
      <c r="I4" s="20"/>
      <c r="J4" s="20"/>
      <c r="K4" s="20"/>
      <c r="L4" s="20"/>
      <c r="M4" s="21"/>
      <c r="N4" s="21"/>
      <c r="O4" s="21"/>
      <c r="P4" s="21"/>
      <c r="Q4" s="2"/>
    </row>
    <row r="5" spans="1:17" x14ac:dyDescent="0.3">
      <c r="A5" s="21">
        <v>1</v>
      </c>
      <c r="B5" s="22">
        <v>46085</v>
      </c>
      <c r="C5" s="21" t="s">
        <v>0</v>
      </c>
      <c r="D5" s="21" t="s">
        <v>4</v>
      </c>
      <c r="E5" s="21" t="s">
        <v>3</v>
      </c>
      <c r="F5" s="21" t="s">
        <v>3</v>
      </c>
      <c r="G5" s="21" t="s">
        <v>3</v>
      </c>
      <c r="H5" s="23">
        <f>B120</f>
        <v>4130</v>
      </c>
      <c r="I5" s="20"/>
      <c r="J5" s="20"/>
      <c r="K5" s="20"/>
      <c r="L5" s="20"/>
      <c r="M5" s="21"/>
      <c r="N5" s="21"/>
      <c r="O5" s="21"/>
      <c r="P5" s="21"/>
      <c r="Q5" s="2"/>
    </row>
    <row r="6" spans="1:17" x14ac:dyDescent="0.3">
      <c r="A6" s="21">
        <v>2</v>
      </c>
      <c r="B6" s="22">
        <v>46086</v>
      </c>
      <c r="C6" s="21" t="s">
        <v>0</v>
      </c>
      <c r="D6" s="21" t="s">
        <v>3</v>
      </c>
      <c r="E6" s="21" t="s">
        <v>4</v>
      </c>
      <c r="F6" s="21" t="s">
        <v>4</v>
      </c>
      <c r="G6" s="21" t="s">
        <v>4</v>
      </c>
      <c r="H6" s="25">
        <f>B118</f>
        <v>-2520</v>
      </c>
      <c r="I6" s="20"/>
      <c r="J6" s="20"/>
      <c r="K6" s="20"/>
      <c r="L6" s="20"/>
      <c r="M6" s="21"/>
      <c r="N6" s="21"/>
      <c r="O6" s="21"/>
      <c r="P6" s="21"/>
      <c r="Q6" s="2"/>
    </row>
    <row r="7" spans="1:17" x14ac:dyDescent="0.3">
      <c r="A7" s="21">
        <v>3</v>
      </c>
      <c r="B7" s="22">
        <v>46087</v>
      </c>
      <c r="C7" s="21" t="s">
        <v>1</v>
      </c>
      <c r="D7" s="21" t="s">
        <v>3</v>
      </c>
      <c r="E7" s="21" t="s">
        <v>4</v>
      </c>
      <c r="F7" s="21" t="s">
        <v>4</v>
      </c>
      <c r="G7" s="21" t="s">
        <v>4</v>
      </c>
      <c r="H7" s="25">
        <f>B118</f>
        <v>-2520</v>
      </c>
      <c r="I7" s="20"/>
      <c r="J7" s="20"/>
      <c r="K7" s="20"/>
      <c r="L7" s="20"/>
      <c r="M7" s="20"/>
      <c r="N7" s="20"/>
      <c r="O7" s="20"/>
      <c r="P7" s="20"/>
    </row>
    <row r="8" spans="1:17" x14ac:dyDescent="0.3">
      <c r="A8" s="21">
        <v>4</v>
      </c>
      <c r="B8" s="22">
        <v>46090</v>
      </c>
      <c r="C8" s="21" t="s">
        <v>1</v>
      </c>
      <c r="D8" s="21" t="s">
        <v>3</v>
      </c>
      <c r="E8" s="21" t="s">
        <v>4</v>
      </c>
      <c r="F8" s="21" t="s">
        <v>4</v>
      </c>
      <c r="G8" s="21" t="s">
        <v>4</v>
      </c>
      <c r="H8" s="25">
        <f>B118</f>
        <v>-2520</v>
      </c>
      <c r="I8" s="20"/>
      <c r="J8" s="20"/>
      <c r="K8" s="20"/>
      <c r="L8" s="20"/>
      <c r="M8" s="20"/>
      <c r="N8" s="20"/>
      <c r="O8" s="20"/>
      <c r="P8" s="20"/>
    </row>
    <row r="9" spans="1:17" x14ac:dyDescent="0.3">
      <c r="A9" s="21">
        <v>5</v>
      </c>
      <c r="B9" s="22">
        <v>46091</v>
      </c>
      <c r="C9" s="21" t="s">
        <v>0</v>
      </c>
      <c r="D9" s="21" t="s">
        <v>4</v>
      </c>
      <c r="E9" s="21" t="s">
        <v>3</v>
      </c>
      <c r="F9" s="21" t="s">
        <v>3</v>
      </c>
      <c r="G9" s="21" t="s">
        <v>4</v>
      </c>
      <c r="H9" s="23">
        <f>B117</f>
        <v>980</v>
      </c>
      <c r="I9" s="20"/>
      <c r="J9" s="20"/>
      <c r="K9" s="20"/>
      <c r="L9" s="20"/>
      <c r="M9" s="20"/>
      <c r="N9" s="20"/>
      <c r="O9" s="20"/>
    </row>
    <row r="10" spans="1:17" x14ac:dyDescent="0.3">
      <c r="A10" s="21">
        <v>6</v>
      </c>
      <c r="B10" s="22">
        <v>46092</v>
      </c>
      <c r="C10" s="21" t="s">
        <v>0</v>
      </c>
      <c r="D10" s="21" t="s">
        <v>4</v>
      </c>
      <c r="E10" s="21" t="s">
        <v>3</v>
      </c>
      <c r="F10" s="21" t="s">
        <v>4</v>
      </c>
      <c r="G10" s="21" t="s">
        <v>4</v>
      </c>
      <c r="H10" s="23">
        <f>B116</f>
        <v>280</v>
      </c>
      <c r="I10" s="20"/>
      <c r="J10" s="20"/>
      <c r="K10" s="20"/>
      <c r="L10" s="20"/>
      <c r="M10" s="20"/>
      <c r="N10" s="20"/>
      <c r="O10" s="20"/>
    </row>
    <row r="11" spans="1:17" x14ac:dyDescent="0.3">
      <c r="A11" s="21">
        <v>7</v>
      </c>
      <c r="B11" s="22">
        <v>46093</v>
      </c>
      <c r="C11" s="21" t="s">
        <v>1</v>
      </c>
      <c r="D11" s="21" t="s">
        <v>4</v>
      </c>
      <c r="E11" s="21" t="s">
        <v>3</v>
      </c>
      <c r="F11" s="21" t="s">
        <v>3</v>
      </c>
      <c r="G11" s="21" t="s">
        <v>3</v>
      </c>
      <c r="H11" s="23">
        <f>B120</f>
        <v>4130</v>
      </c>
      <c r="I11" s="20"/>
      <c r="J11" s="20"/>
      <c r="K11" s="20"/>
      <c r="L11" s="20"/>
      <c r="M11" s="20"/>
      <c r="N11" s="20"/>
      <c r="O11" s="20"/>
    </row>
    <row r="12" spans="1:17" x14ac:dyDescent="0.3">
      <c r="A12" s="21">
        <v>8</v>
      </c>
      <c r="B12" s="22">
        <v>46094</v>
      </c>
      <c r="C12" s="21" t="s">
        <v>1</v>
      </c>
      <c r="D12" s="21" t="s">
        <v>4</v>
      </c>
      <c r="E12" s="21" t="s">
        <v>3</v>
      </c>
      <c r="F12" s="21" t="s">
        <v>3</v>
      </c>
      <c r="G12" s="21" t="s">
        <v>4</v>
      </c>
      <c r="H12" s="23">
        <f>B117</f>
        <v>980</v>
      </c>
      <c r="I12" s="20"/>
      <c r="J12" s="20"/>
      <c r="K12" s="20"/>
      <c r="L12" s="20"/>
      <c r="M12" s="20"/>
      <c r="N12" s="20"/>
      <c r="O12" s="20"/>
    </row>
    <row r="13" spans="1:17" x14ac:dyDescent="0.3">
      <c r="A13" s="21">
        <v>9</v>
      </c>
      <c r="B13" s="21" t="s">
        <v>14</v>
      </c>
      <c r="C13" s="21" t="s">
        <v>0</v>
      </c>
      <c r="D13" s="21" t="s">
        <v>4</v>
      </c>
      <c r="E13" s="21" t="s">
        <v>3</v>
      </c>
      <c r="F13" s="21" t="s">
        <v>3</v>
      </c>
      <c r="G13" s="21" t="s">
        <v>4</v>
      </c>
      <c r="H13" s="23">
        <f>B117</f>
        <v>980</v>
      </c>
      <c r="I13" s="20"/>
      <c r="J13" s="20"/>
      <c r="K13" s="20"/>
      <c r="L13" s="20"/>
      <c r="M13" s="20"/>
      <c r="N13" s="20"/>
      <c r="O13" s="20"/>
    </row>
    <row r="14" spans="1:17" x14ac:dyDescent="0.3">
      <c r="A14" s="21">
        <v>10</v>
      </c>
      <c r="B14" s="22">
        <v>46099</v>
      </c>
      <c r="C14" s="21" t="s">
        <v>0</v>
      </c>
      <c r="D14" s="21" t="s">
        <v>3</v>
      </c>
      <c r="E14" s="21" t="s">
        <v>4</v>
      </c>
      <c r="F14" s="21" t="s">
        <v>4</v>
      </c>
      <c r="G14" s="21" t="s">
        <v>4</v>
      </c>
      <c r="H14" s="25">
        <f>B118</f>
        <v>-2520</v>
      </c>
      <c r="I14" s="20"/>
      <c r="J14" s="20"/>
      <c r="K14" s="20"/>
      <c r="L14" s="20"/>
      <c r="M14" s="20"/>
      <c r="N14" s="20"/>
      <c r="O14" s="20"/>
    </row>
    <row r="15" spans="1:17" x14ac:dyDescent="0.3">
      <c r="A15" s="21">
        <v>11</v>
      </c>
      <c r="B15" s="22">
        <v>46100</v>
      </c>
      <c r="C15" s="21" t="s">
        <v>1</v>
      </c>
      <c r="D15" s="21" t="s">
        <v>4</v>
      </c>
      <c r="E15" s="21" t="s">
        <v>3</v>
      </c>
      <c r="F15" s="21" t="s">
        <v>3</v>
      </c>
      <c r="G15" s="21" t="s">
        <v>4</v>
      </c>
      <c r="H15" s="23">
        <f>B117</f>
        <v>980</v>
      </c>
      <c r="I15" s="20"/>
      <c r="J15" s="20"/>
      <c r="K15" s="20"/>
      <c r="L15" s="20"/>
      <c r="M15" s="20"/>
      <c r="N15" s="20"/>
      <c r="O15" s="20"/>
    </row>
    <row r="16" spans="1:17" x14ac:dyDescent="0.3">
      <c r="A16" s="21">
        <v>12</v>
      </c>
      <c r="B16" s="22">
        <v>46101</v>
      </c>
      <c r="C16" s="21" t="s">
        <v>1</v>
      </c>
      <c r="D16" s="21" t="s">
        <v>4</v>
      </c>
      <c r="E16" s="21" t="s">
        <v>3</v>
      </c>
      <c r="F16" s="21" t="s">
        <v>4</v>
      </c>
      <c r="G16" s="21" t="s">
        <v>4</v>
      </c>
      <c r="H16" s="23">
        <f>B116</f>
        <v>280</v>
      </c>
      <c r="I16" s="20"/>
      <c r="J16" s="20"/>
      <c r="K16" s="20"/>
      <c r="L16" s="20"/>
      <c r="M16" s="20"/>
      <c r="N16" s="20"/>
      <c r="O16" s="20"/>
    </row>
    <row r="17" spans="1:16" x14ac:dyDescent="0.3">
      <c r="A17" s="21">
        <v>13</v>
      </c>
      <c r="B17" s="22">
        <v>46104</v>
      </c>
      <c r="C17" s="21" t="s">
        <v>1</v>
      </c>
      <c r="D17" s="21" t="s">
        <v>4</v>
      </c>
      <c r="E17" s="21" t="s">
        <v>3</v>
      </c>
      <c r="F17" s="21" t="s">
        <v>3</v>
      </c>
      <c r="G17" s="21" t="s">
        <v>4</v>
      </c>
      <c r="H17" s="23">
        <f>B117</f>
        <v>980</v>
      </c>
      <c r="I17" s="20"/>
      <c r="J17" s="20"/>
      <c r="K17" s="20"/>
      <c r="L17" s="20"/>
      <c r="M17" s="20"/>
      <c r="N17" s="20"/>
      <c r="O17" s="20"/>
    </row>
    <row r="18" spans="1:16" x14ac:dyDescent="0.3">
      <c r="A18" s="21">
        <v>14</v>
      </c>
      <c r="B18" s="22">
        <v>46105</v>
      </c>
      <c r="C18" s="21" t="s">
        <v>1</v>
      </c>
      <c r="D18" s="21" t="s">
        <v>4</v>
      </c>
      <c r="E18" s="21" t="s">
        <v>3</v>
      </c>
      <c r="F18" s="21" t="s">
        <v>3</v>
      </c>
      <c r="G18" s="21" t="s">
        <v>3</v>
      </c>
      <c r="H18" s="23">
        <f>B120</f>
        <v>4130</v>
      </c>
      <c r="I18" s="20"/>
      <c r="J18" s="20"/>
      <c r="K18" s="20"/>
      <c r="L18" s="20"/>
      <c r="M18" s="20"/>
      <c r="N18" s="20"/>
      <c r="O18" s="20"/>
    </row>
    <row r="19" spans="1:16" x14ac:dyDescent="0.3">
      <c r="A19" s="21">
        <v>15</v>
      </c>
      <c r="B19" s="22">
        <v>46106</v>
      </c>
      <c r="C19" s="21" t="s">
        <v>0</v>
      </c>
      <c r="D19" s="21" t="s">
        <v>4</v>
      </c>
      <c r="E19" s="21" t="s">
        <v>3</v>
      </c>
      <c r="F19" s="21" t="s">
        <v>3</v>
      </c>
      <c r="G19" s="21" t="s">
        <v>4</v>
      </c>
      <c r="H19" s="23">
        <f>B117</f>
        <v>980</v>
      </c>
      <c r="I19" s="20"/>
      <c r="J19" s="20"/>
      <c r="K19" s="20"/>
      <c r="L19" s="20"/>
      <c r="M19" s="20"/>
      <c r="N19" s="20"/>
      <c r="O19" s="20"/>
    </row>
    <row r="20" spans="1:16" x14ac:dyDescent="0.3">
      <c r="A20" s="21">
        <v>16</v>
      </c>
      <c r="B20" s="22">
        <v>46107</v>
      </c>
      <c r="C20" s="21" t="s">
        <v>1</v>
      </c>
      <c r="D20" s="21" t="s">
        <v>4</v>
      </c>
      <c r="E20" s="21" t="s">
        <v>3</v>
      </c>
      <c r="F20" s="21" t="s">
        <v>3</v>
      </c>
      <c r="G20" s="21" t="s">
        <v>4</v>
      </c>
      <c r="H20" s="23">
        <f>B117</f>
        <v>980</v>
      </c>
      <c r="I20" s="20"/>
      <c r="J20" s="20"/>
      <c r="K20" s="20"/>
      <c r="L20" s="20"/>
      <c r="M20" s="20"/>
      <c r="N20" s="20"/>
      <c r="O20" s="20"/>
    </row>
    <row r="21" spans="1:16" x14ac:dyDescent="0.3">
      <c r="A21" s="21">
        <v>17</v>
      </c>
      <c r="B21" s="22">
        <v>46108</v>
      </c>
      <c r="C21" s="21" t="s">
        <v>1</v>
      </c>
      <c r="D21" s="21" t="s">
        <v>4</v>
      </c>
      <c r="E21" s="21" t="s">
        <v>3</v>
      </c>
      <c r="F21" s="21" t="s">
        <v>3</v>
      </c>
      <c r="G21" s="21" t="s">
        <v>4</v>
      </c>
      <c r="H21" s="23">
        <f>B117</f>
        <v>980</v>
      </c>
      <c r="I21" s="20"/>
      <c r="J21" s="20"/>
      <c r="K21" s="20"/>
      <c r="L21" s="20"/>
      <c r="M21" s="20"/>
      <c r="N21" s="20"/>
      <c r="O21" s="20"/>
    </row>
    <row r="22" spans="1:16" x14ac:dyDescent="0.3">
      <c r="A22" s="21">
        <v>18</v>
      </c>
      <c r="B22" s="22">
        <v>46111</v>
      </c>
      <c r="C22" s="21" t="s">
        <v>0</v>
      </c>
      <c r="D22" s="21" t="s">
        <v>3</v>
      </c>
      <c r="E22" s="21" t="s">
        <v>4</v>
      </c>
      <c r="F22" s="21" t="s">
        <v>4</v>
      </c>
      <c r="G22" s="21" t="s">
        <v>4</v>
      </c>
      <c r="H22" s="25">
        <f>B118</f>
        <v>-2520</v>
      </c>
      <c r="I22" s="20"/>
      <c r="J22" s="20"/>
      <c r="K22" s="20"/>
      <c r="L22" s="20"/>
      <c r="M22" s="20"/>
      <c r="N22" s="20"/>
      <c r="O22" s="20"/>
    </row>
    <row r="23" spans="1:16" x14ac:dyDescent="0.3">
      <c r="A23" s="21">
        <v>19</v>
      </c>
      <c r="B23" s="22">
        <v>46112</v>
      </c>
      <c r="C23" s="21" t="s">
        <v>0</v>
      </c>
      <c r="D23" s="21" t="s">
        <v>4</v>
      </c>
      <c r="E23" s="21" t="s">
        <v>3</v>
      </c>
      <c r="F23" s="21" t="s">
        <v>3</v>
      </c>
      <c r="G23" s="21" t="s">
        <v>3</v>
      </c>
      <c r="H23" s="23">
        <f>B120</f>
        <v>4130</v>
      </c>
      <c r="I23" s="20"/>
      <c r="J23" s="20"/>
      <c r="K23" s="20"/>
      <c r="L23" s="20"/>
      <c r="M23" s="20"/>
      <c r="N23" s="20"/>
      <c r="O23" s="20"/>
    </row>
    <row r="24" spans="1:16" x14ac:dyDescent="0.3">
      <c r="A24" s="21"/>
      <c r="B24" s="22"/>
      <c r="C24" s="21"/>
      <c r="D24" s="21"/>
      <c r="E24" s="21"/>
      <c r="F24" s="21"/>
      <c r="G24" s="21"/>
      <c r="H24" s="23"/>
      <c r="I24" s="20"/>
      <c r="J24" s="20"/>
      <c r="K24" s="20"/>
      <c r="L24" s="20"/>
      <c r="M24" s="20"/>
      <c r="N24" s="20"/>
      <c r="O24" s="20"/>
    </row>
    <row r="25" spans="1:16" x14ac:dyDescent="0.3">
      <c r="A25" s="21"/>
      <c r="B25" s="21"/>
      <c r="C25" s="21"/>
      <c r="D25" s="21"/>
      <c r="E25" s="21"/>
      <c r="F25" s="21"/>
      <c r="G25" s="21"/>
      <c r="H25" s="26">
        <f>SUM(H5:H23)</f>
        <v>12320</v>
      </c>
      <c r="I25" s="20"/>
      <c r="J25" s="20"/>
      <c r="K25" s="20"/>
      <c r="L25" s="20"/>
      <c r="M25" s="20"/>
      <c r="N25" s="20"/>
      <c r="O25" s="20"/>
    </row>
    <row r="26" spans="1:16" x14ac:dyDescent="0.3">
      <c r="A26" s="21"/>
      <c r="B26" s="21"/>
      <c r="C26" s="21"/>
      <c r="D26" s="21"/>
      <c r="E26" s="21"/>
      <c r="F26" s="21"/>
      <c r="G26" s="21"/>
      <c r="H26" s="23"/>
      <c r="I26" s="20"/>
      <c r="J26" s="20"/>
      <c r="K26" s="20"/>
      <c r="L26" s="20"/>
      <c r="M26" s="21" t="s">
        <v>2</v>
      </c>
      <c r="N26" s="21" t="s">
        <v>31</v>
      </c>
      <c r="O26" s="21" t="s">
        <v>32</v>
      </c>
      <c r="P26" s="21" t="s">
        <v>33</v>
      </c>
    </row>
    <row r="27" spans="1:16" x14ac:dyDescent="0.3">
      <c r="A27" s="21"/>
      <c r="B27" s="21"/>
      <c r="C27" s="21"/>
      <c r="D27" s="21" t="s">
        <v>2</v>
      </c>
      <c r="E27" s="21" t="s">
        <v>7</v>
      </c>
      <c r="F27" s="21" t="s">
        <v>9</v>
      </c>
      <c r="G27" s="21" t="s">
        <v>11</v>
      </c>
      <c r="H27" s="23"/>
      <c r="I27" s="20"/>
      <c r="J27" s="24"/>
      <c r="K27" s="20"/>
      <c r="L27" s="20"/>
      <c r="M27" s="21" t="s">
        <v>34</v>
      </c>
      <c r="N27" s="21" t="s">
        <v>35</v>
      </c>
      <c r="O27" s="21" t="s">
        <v>36</v>
      </c>
      <c r="P27" s="21" t="s">
        <v>37</v>
      </c>
    </row>
    <row r="28" spans="1:16" x14ac:dyDescent="0.3">
      <c r="A28" s="21">
        <v>1</v>
      </c>
      <c r="B28" s="22">
        <v>46113</v>
      </c>
      <c r="C28" s="21" t="s">
        <v>0</v>
      </c>
      <c r="D28" s="21" t="s">
        <v>4</v>
      </c>
      <c r="E28" s="21" t="s">
        <v>3</v>
      </c>
      <c r="F28" s="21" t="s">
        <v>4</v>
      </c>
      <c r="G28" s="21" t="s">
        <v>4</v>
      </c>
      <c r="H28" s="23">
        <f>B116</f>
        <v>280</v>
      </c>
      <c r="I28" s="20"/>
      <c r="J28" s="20"/>
      <c r="K28" s="20"/>
      <c r="L28" s="20"/>
      <c r="M28" s="20"/>
      <c r="N28" s="20"/>
      <c r="O28" s="20"/>
    </row>
    <row r="29" spans="1:16" x14ac:dyDescent="0.3">
      <c r="A29" s="21">
        <v>2</v>
      </c>
      <c r="B29" s="22">
        <v>46114</v>
      </c>
      <c r="C29" s="21" t="s">
        <v>1</v>
      </c>
      <c r="D29" s="21" t="s">
        <v>4</v>
      </c>
      <c r="E29" s="21" t="s">
        <v>3</v>
      </c>
      <c r="F29" s="21" t="s">
        <v>3</v>
      </c>
      <c r="G29" s="21" t="s">
        <v>4</v>
      </c>
      <c r="H29" s="23">
        <f>B117</f>
        <v>980</v>
      </c>
      <c r="I29" s="20"/>
      <c r="J29" s="20"/>
      <c r="K29" s="20"/>
      <c r="L29" s="20"/>
      <c r="M29" s="20"/>
      <c r="N29" s="20"/>
      <c r="O29" s="20"/>
    </row>
    <row r="30" spans="1:16" x14ac:dyDescent="0.3">
      <c r="A30" s="21">
        <v>3</v>
      </c>
      <c r="B30" s="22">
        <v>46118</v>
      </c>
      <c r="C30" s="21" t="s">
        <v>0</v>
      </c>
      <c r="D30" s="21" t="s">
        <v>4</v>
      </c>
      <c r="E30" s="21" t="s">
        <v>3</v>
      </c>
      <c r="F30" s="21" t="s">
        <v>3</v>
      </c>
      <c r="G30" s="21" t="s">
        <v>4</v>
      </c>
      <c r="H30" s="23">
        <f>B117</f>
        <v>980</v>
      </c>
      <c r="I30" s="20"/>
      <c r="J30" s="20"/>
      <c r="K30" s="20"/>
      <c r="L30" s="20"/>
      <c r="M30" s="20"/>
      <c r="N30" s="20"/>
      <c r="O30" s="20"/>
    </row>
    <row r="31" spans="1:16" x14ac:dyDescent="0.3">
      <c r="A31" s="21">
        <v>4</v>
      </c>
      <c r="B31" s="22">
        <v>46119</v>
      </c>
      <c r="C31" s="21" t="s">
        <v>0</v>
      </c>
      <c r="D31" s="21" t="s">
        <v>4</v>
      </c>
      <c r="E31" s="21" t="s">
        <v>3</v>
      </c>
      <c r="F31" s="21" t="s">
        <v>3</v>
      </c>
      <c r="G31" s="21" t="s">
        <v>4</v>
      </c>
      <c r="H31" s="23">
        <f>B117</f>
        <v>980</v>
      </c>
      <c r="I31" s="20"/>
      <c r="J31" s="20"/>
      <c r="K31" s="20"/>
      <c r="L31" s="20"/>
      <c r="M31" s="20"/>
      <c r="N31" s="20"/>
      <c r="O31" s="20"/>
    </row>
    <row r="32" spans="1:16" x14ac:dyDescent="0.3">
      <c r="A32" s="21">
        <v>5</v>
      </c>
      <c r="B32" s="22">
        <v>46120</v>
      </c>
      <c r="C32" s="21" t="s">
        <v>0</v>
      </c>
      <c r="D32" s="21" t="s">
        <v>4</v>
      </c>
      <c r="E32" s="21" t="s">
        <v>3</v>
      </c>
      <c r="F32" s="21" t="s">
        <v>3</v>
      </c>
      <c r="G32" s="21" t="s">
        <v>4</v>
      </c>
      <c r="H32" s="23">
        <f>B117</f>
        <v>980</v>
      </c>
      <c r="I32" s="20"/>
      <c r="J32" s="20"/>
      <c r="K32" s="20"/>
      <c r="L32" s="20"/>
      <c r="M32" s="20"/>
      <c r="N32" s="20"/>
      <c r="O32" s="20"/>
    </row>
    <row r="33" spans="1:15" x14ac:dyDescent="0.3">
      <c r="A33" s="21">
        <v>6</v>
      </c>
      <c r="B33" s="22">
        <v>46121</v>
      </c>
      <c r="C33" s="21" t="s">
        <v>1</v>
      </c>
      <c r="D33" s="21" t="s">
        <v>15</v>
      </c>
      <c r="E33" s="21"/>
      <c r="F33" s="21"/>
      <c r="G33" s="21"/>
      <c r="H33" s="23"/>
      <c r="I33" s="20"/>
      <c r="J33" s="20"/>
      <c r="K33" s="20"/>
      <c r="L33" s="20"/>
      <c r="M33" s="20"/>
      <c r="N33" s="20"/>
      <c r="O33" s="20"/>
    </row>
    <row r="34" spans="1:15" x14ac:dyDescent="0.3">
      <c r="A34" s="21">
        <v>7</v>
      </c>
      <c r="B34" s="22">
        <v>46122</v>
      </c>
      <c r="C34" s="21" t="s">
        <v>0</v>
      </c>
      <c r="D34" s="21" t="s">
        <v>4</v>
      </c>
      <c r="E34" s="21" t="s">
        <v>3</v>
      </c>
      <c r="F34" s="21" t="s">
        <v>3</v>
      </c>
      <c r="G34" s="21" t="s">
        <v>4</v>
      </c>
      <c r="H34" s="23">
        <f>B117</f>
        <v>980</v>
      </c>
      <c r="I34" s="20"/>
      <c r="J34" s="20"/>
      <c r="K34" s="20"/>
      <c r="L34" s="20"/>
      <c r="M34" s="20"/>
      <c r="N34" s="20"/>
      <c r="O34" s="20"/>
    </row>
    <row r="35" spans="1:15" x14ac:dyDescent="0.3">
      <c r="A35" s="21">
        <v>8</v>
      </c>
      <c r="B35" s="22">
        <v>46125</v>
      </c>
      <c r="C35" s="21" t="s">
        <v>1</v>
      </c>
      <c r="D35" s="21" t="s">
        <v>4</v>
      </c>
      <c r="E35" s="21" t="s">
        <v>3</v>
      </c>
      <c r="F35" s="21" t="s">
        <v>3</v>
      </c>
      <c r="G35" s="21" t="s">
        <v>4</v>
      </c>
      <c r="H35" s="23">
        <f>B117</f>
        <v>980</v>
      </c>
      <c r="I35" s="20"/>
      <c r="J35" s="20"/>
      <c r="K35" s="20"/>
      <c r="L35" s="20"/>
      <c r="M35" s="20"/>
      <c r="N35" s="20"/>
      <c r="O35" s="20"/>
    </row>
    <row r="36" spans="1:15" x14ac:dyDescent="0.3">
      <c r="A36" s="21">
        <v>9</v>
      </c>
      <c r="B36" s="22">
        <v>46126</v>
      </c>
      <c r="C36" s="21" t="s">
        <v>0</v>
      </c>
      <c r="D36" s="21" t="s">
        <v>4</v>
      </c>
      <c r="E36" s="21" t="s">
        <v>3</v>
      </c>
      <c r="F36" s="21" t="s">
        <v>3</v>
      </c>
      <c r="G36" s="21" t="s">
        <v>4</v>
      </c>
      <c r="H36" s="23">
        <f>B117</f>
        <v>980</v>
      </c>
      <c r="I36" s="20"/>
      <c r="J36" s="20"/>
      <c r="K36" s="20"/>
      <c r="L36" s="20"/>
      <c r="M36" s="20"/>
      <c r="N36" s="20"/>
      <c r="O36" s="20"/>
    </row>
    <row r="37" spans="1:15" x14ac:dyDescent="0.3">
      <c r="A37" s="21">
        <v>10</v>
      </c>
      <c r="B37" s="22">
        <v>46127</v>
      </c>
      <c r="C37" s="21" t="s">
        <v>0</v>
      </c>
      <c r="D37" s="21" t="s">
        <v>15</v>
      </c>
      <c r="E37" s="21"/>
      <c r="F37" s="21"/>
      <c r="G37" s="21"/>
      <c r="H37" s="23"/>
      <c r="I37" s="20"/>
      <c r="J37" s="20"/>
      <c r="K37" s="20"/>
      <c r="L37" s="20"/>
      <c r="M37" s="20"/>
      <c r="N37" s="20"/>
      <c r="O37" s="20"/>
    </row>
    <row r="38" spans="1:15" x14ac:dyDescent="0.3">
      <c r="A38" s="21">
        <v>11</v>
      </c>
      <c r="B38" s="22">
        <v>46128</v>
      </c>
      <c r="C38" s="21" t="s">
        <v>0</v>
      </c>
      <c r="D38" s="21" t="s">
        <v>15</v>
      </c>
      <c r="E38" s="21"/>
      <c r="F38" s="21"/>
      <c r="G38" s="21"/>
      <c r="H38" s="23"/>
      <c r="I38" s="20"/>
      <c r="J38" s="20"/>
      <c r="K38" s="20"/>
      <c r="L38" s="20"/>
      <c r="M38" s="20"/>
      <c r="N38" s="20"/>
      <c r="O38" s="20"/>
    </row>
    <row r="39" spans="1:15" x14ac:dyDescent="0.3">
      <c r="A39" s="21">
        <v>12</v>
      </c>
      <c r="B39" s="22">
        <v>46129</v>
      </c>
      <c r="C39" s="21" t="s">
        <v>0</v>
      </c>
      <c r="D39" s="21" t="s">
        <v>4</v>
      </c>
      <c r="E39" s="21" t="s">
        <v>3</v>
      </c>
      <c r="F39" s="21" t="s">
        <v>3</v>
      </c>
      <c r="G39" s="21" t="s">
        <v>4</v>
      </c>
      <c r="H39" s="23">
        <f>B117</f>
        <v>980</v>
      </c>
      <c r="I39" s="20"/>
      <c r="J39" s="20"/>
      <c r="K39" s="20"/>
      <c r="L39" s="20"/>
      <c r="M39" s="20"/>
      <c r="N39" s="20"/>
      <c r="O39" s="20"/>
    </row>
    <row r="40" spans="1:15" x14ac:dyDescent="0.3">
      <c r="A40" s="21">
        <v>13</v>
      </c>
      <c r="B40" s="22">
        <v>46132</v>
      </c>
      <c r="C40" s="21" t="s">
        <v>1</v>
      </c>
      <c r="D40" s="21" t="s">
        <v>4</v>
      </c>
      <c r="E40" s="21" t="s">
        <v>3</v>
      </c>
      <c r="F40" s="21" t="s">
        <v>4</v>
      </c>
      <c r="G40" s="21" t="s">
        <v>4</v>
      </c>
      <c r="H40" s="23">
        <f>B116</f>
        <v>280</v>
      </c>
      <c r="I40" s="20"/>
      <c r="J40" s="20"/>
      <c r="K40" s="20"/>
      <c r="L40" s="20"/>
      <c r="M40" s="20"/>
      <c r="N40" s="20"/>
      <c r="O40" s="20"/>
    </row>
    <row r="41" spans="1:15" x14ac:dyDescent="0.3">
      <c r="A41" s="21">
        <v>14</v>
      </c>
      <c r="B41" s="22">
        <v>46134</v>
      </c>
      <c r="C41" s="21" t="s">
        <v>0</v>
      </c>
      <c r="D41" s="21" t="s">
        <v>3</v>
      </c>
      <c r="E41" s="21" t="s">
        <v>4</v>
      </c>
      <c r="F41" s="21" t="s">
        <v>4</v>
      </c>
      <c r="G41" s="21" t="s">
        <v>4</v>
      </c>
      <c r="H41" s="25">
        <f>B118</f>
        <v>-2520</v>
      </c>
      <c r="I41" s="20"/>
      <c r="J41" s="20"/>
      <c r="K41" s="20"/>
      <c r="L41" s="20"/>
      <c r="M41" s="20"/>
      <c r="N41" s="20"/>
      <c r="O41" s="20"/>
    </row>
    <row r="42" spans="1:15" x14ac:dyDescent="0.3">
      <c r="A42" s="21">
        <v>15</v>
      </c>
      <c r="B42" s="22">
        <v>46135</v>
      </c>
      <c r="C42" s="21" t="s">
        <v>1</v>
      </c>
      <c r="D42" s="21" t="s">
        <v>4</v>
      </c>
      <c r="E42" s="21" t="s">
        <v>3</v>
      </c>
      <c r="F42" s="21" t="s">
        <v>4</v>
      </c>
      <c r="G42" s="21" t="s">
        <v>4</v>
      </c>
      <c r="H42" s="23">
        <f>B116</f>
        <v>280</v>
      </c>
      <c r="I42" s="20"/>
      <c r="J42" s="20"/>
      <c r="K42" s="20"/>
      <c r="L42" s="20"/>
      <c r="M42" s="20"/>
      <c r="N42" s="20"/>
      <c r="O42" s="20"/>
    </row>
    <row r="43" spans="1:15" x14ac:dyDescent="0.3">
      <c r="A43" s="21">
        <v>16</v>
      </c>
      <c r="B43" s="22">
        <v>46136</v>
      </c>
      <c r="C43" s="21" t="s">
        <v>1</v>
      </c>
      <c r="D43" s="21" t="s">
        <v>15</v>
      </c>
      <c r="E43" s="21"/>
      <c r="F43" s="21"/>
      <c r="G43" s="21"/>
      <c r="H43" s="23"/>
      <c r="I43" s="20"/>
      <c r="J43" s="20"/>
      <c r="K43" s="20"/>
      <c r="L43" s="20"/>
      <c r="M43" s="20"/>
      <c r="N43" s="20"/>
      <c r="O43" s="20"/>
    </row>
    <row r="44" spans="1:15" x14ac:dyDescent="0.3">
      <c r="A44" s="21">
        <v>17</v>
      </c>
      <c r="B44" s="22">
        <v>46139</v>
      </c>
      <c r="C44" s="21" t="s">
        <v>0</v>
      </c>
      <c r="D44" s="21" t="s">
        <v>4</v>
      </c>
      <c r="E44" s="21" t="s">
        <v>3</v>
      </c>
      <c r="F44" s="21" t="s">
        <v>4</v>
      </c>
      <c r="G44" s="21" t="s">
        <v>4</v>
      </c>
      <c r="H44" s="23">
        <f>B116</f>
        <v>280</v>
      </c>
      <c r="I44" s="20"/>
      <c r="J44" s="20"/>
      <c r="K44" s="20"/>
      <c r="L44" s="20"/>
      <c r="M44" s="20"/>
      <c r="N44" s="20"/>
      <c r="O44" s="20"/>
    </row>
    <row r="45" spans="1:15" x14ac:dyDescent="0.3">
      <c r="A45" s="21">
        <v>18</v>
      </c>
      <c r="B45" s="22">
        <v>46140</v>
      </c>
      <c r="C45" s="21" t="s">
        <v>1</v>
      </c>
      <c r="D45" s="21" t="s">
        <v>4</v>
      </c>
      <c r="E45" s="21" t="s">
        <v>3</v>
      </c>
      <c r="F45" s="21" t="s">
        <v>3</v>
      </c>
      <c r="G45" s="21" t="s">
        <v>4</v>
      </c>
      <c r="H45" s="23">
        <f>B117</f>
        <v>980</v>
      </c>
      <c r="I45" s="20"/>
      <c r="J45" s="20"/>
      <c r="K45" s="20"/>
      <c r="L45" s="20"/>
      <c r="M45" s="20"/>
      <c r="N45" s="20"/>
      <c r="O45" s="20"/>
    </row>
    <row r="46" spans="1:15" x14ac:dyDescent="0.3">
      <c r="A46" s="21">
        <v>19</v>
      </c>
      <c r="B46" s="22">
        <v>46141</v>
      </c>
      <c r="C46" s="21" t="s">
        <v>0</v>
      </c>
      <c r="D46" s="21" t="s">
        <v>3</v>
      </c>
      <c r="E46" s="21" t="s">
        <v>4</v>
      </c>
      <c r="F46" s="21" t="s">
        <v>4</v>
      </c>
      <c r="G46" s="21" t="s">
        <v>4</v>
      </c>
      <c r="H46" s="25">
        <f>B118</f>
        <v>-2520</v>
      </c>
      <c r="I46" s="20"/>
      <c r="J46" s="20"/>
      <c r="K46" s="20"/>
      <c r="L46" s="20"/>
      <c r="M46" s="20"/>
      <c r="N46" s="20"/>
      <c r="O46" s="20"/>
    </row>
    <row r="47" spans="1:15" x14ac:dyDescent="0.3">
      <c r="A47" s="21">
        <v>20</v>
      </c>
      <c r="B47" s="22">
        <v>46142</v>
      </c>
      <c r="C47" s="21" t="s">
        <v>0</v>
      </c>
      <c r="D47" s="21" t="s">
        <v>15</v>
      </c>
      <c r="E47" s="21"/>
      <c r="F47" s="21"/>
      <c r="G47" s="21"/>
      <c r="H47" s="23"/>
      <c r="I47" s="20"/>
      <c r="J47" s="20"/>
      <c r="K47" s="20"/>
      <c r="L47" s="20"/>
      <c r="M47" s="20"/>
      <c r="N47" s="20"/>
      <c r="O47" s="20"/>
    </row>
    <row r="48" spans="1:15" x14ac:dyDescent="0.3">
      <c r="A48" s="21"/>
      <c r="B48" s="22"/>
      <c r="C48" s="21"/>
      <c r="D48" s="21"/>
      <c r="E48" s="21"/>
      <c r="F48" s="21"/>
      <c r="G48" s="21"/>
      <c r="H48" s="26">
        <f>SUM(H28:H47)</f>
        <v>4900</v>
      </c>
      <c r="I48" s="20"/>
      <c r="J48" s="20"/>
      <c r="K48" s="20"/>
      <c r="L48" s="20"/>
      <c r="M48" s="20"/>
      <c r="N48" s="20"/>
      <c r="O48" s="20"/>
    </row>
    <row r="49" spans="1:15" x14ac:dyDescent="0.3">
      <c r="A49" s="21"/>
      <c r="B49" s="22"/>
      <c r="C49" s="21"/>
      <c r="D49" s="21"/>
      <c r="E49" s="21"/>
      <c r="F49" s="21"/>
      <c r="G49" s="21"/>
      <c r="H49" s="23"/>
      <c r="I49" s="20"/>
      <c r="J49" s="20"/>
      <c r="K49" s="20"/>
      <c r="L49" s="20"/>
      <c r="M49" s="20"/>
      <c r="N49" s="20"/>
      <c r="O49" s="20"/>
    </row>
    <row r="50" spans="1:15" x14ac:dyDescent="0.3">
      <c r="A50" s="21"/>
      <c r="B50" s="22"/>
      <c r="C50" s="21"/>
      <c r="D50" s="21" t="s">
        <v>2</v>
      </c>
      <c r="E50" s="21" t="s">
        <v>7</v>
      </c>
      <c r="F50" s="21" t="s">
        <v>9</v>
      </c>
      <c r="G50" s="21" t="s">
        <v>11</v>
      </c>
      <c r="H50" s="23"/>
      <c r="I50" s="20"/>
      <c r="J50" s="24">
        <f>H75/23</f>
        <v>380.43478260869563</v>
      </c>
      <c r="K50" s="20"/>
      <c r="L50" s="20"/>
      <c r="M50" s="20"/>
      <c r="N50" s="20"/>
      <c r="O50" s="20"/>
    </row>
    <row r="51" spans="1:15" x14ac:dyDescent="0.3">
      <c r="A51" s="21">
        <v>1</v>
      </c>
      <c r="B51" s="22">
        <v>46146</v>
      </c>
      <c r="C51" s="21" t="s">
        <v>0</v>
      </c>
      <c r="D51" s="21" t="s">
        <v>4</v>
      </c>
      <c r="E51" s="21" t="s">
        <v>3</v>
      </c>
      <c r="F51" s="21" t="s">
        <v>3</v>
      </c>
      <c r="G51" s="21" t="s">
        <v>4</v>
      </c>
      <c r="H51" s="23">
        <f>B117</f>
        <v>980</v>
      </c>
      <c r="I51" s="20"/>
      <c r="J51" s="20"/>
      <c r="K51" s="20"/>
      <c r="L51" s="20"/>
      <c r="M51" s="20"/>
      <c r="N51" s="20"/>
      <c r="O51" s="20"/>
    </row>
    <row r="52" spans="1:15" x14ac:dyDescent="0.3">
      <c r="A52" s="21">
        <v>2</v>
      </c>
      <c r="B52" s="22">
        <v>46147</v>
      </c>
      <c r="C52" s="21" t="s">
        <v>0</v>
      </c>
      <c r="D52" s="21" t="s">
        <v>3</v>
      </c>
      <c r="E52" s="21" t="s">
        <v>4</v>
      </c>
      <c r="F52" s="21" t="s">
        <v>4</v>
      </c>
      <c r="G52" s="21" t="s">
        <v>4</v>
      </c>
      <c r="H52" s="25">
        <f>B118</f>
        <v>-2520</v>
      </c>
      <c r="I52" s="20"/>
      <c r="J52" s="20"/>
      <c r="K52" s="20"/>
      <c r="L52" s="20"/>
      <c r="M52" s="20"/>
      <c r="N52" s="20"/>
      <c r="O52" s="20"/>
    </row>
    <row r="53" spans="1:15" x14ac:dyDescent="0.3">
      <c r="A53" s="21">
        <v>3</v>
      </c>
      <c r="B53" s="22">
        <v>46148</v>
      </c>
      <c r="C53" s="21" t="s">
        <v>0</v>
      </c>
      <c r="D53" s="21" t="s">
        <v>15</v>
      </c>
      <c r="E53" s="21"/>
      <c r="F53" s="21"/>
      <c r="G53" s="21"/>
      <c r="H53" s="23"/>
      <c r="I53" s="20"/>
      <c r="J53" s="20"/>
      <c r="K53" s="20"/>
      <c r="L53" s="20"/>
      <c r="M53" s="20"/>
      <c r="N53" s="20"/>
      <c r="O53" s="20"/>
    </row>
    <row r="54" spans="1:15" x14ac:dyDescent="0.3">
      <c r="A54" s="21">
        <v>4</v>
      </c>
      <c r="B54" s="22">
        <v>46149</v>
      </c>
      <c r="C54" s="21" t="s">
        <v>15</v>
      </c>
      <c r="D54" s="21" t="s">
        <v>15</v>
      </c>
      <c r="E54" s="21"/>
      <c r="F54" s="21"/>
      <c r="G54" s="21"/>
      <c r="H54" s="23"/>
      <c r="I54" s="20"/>
      <c r="J54" s="20"/>
      <c r="K54" s="20"/>
      <c r="L54" s="20"/>
      <c r="M54" s="20"/>
      <c r="N54" s="20"/>
      <c r="O54" s="20"/>
    </row>
    <row r="55" spans="1:15" x14ac:dyDescent="0.3">
      <c r="A55" s="21">
        <v>5</v>
      </c>
      <c r="B55" s="22">
        <v>46150</v>
      </c>
      <c r="C55" s="21" t="s">
        <v>0</v>
      </c>
      <c r="D55" s="21" t="s">
        <v>4</v>
      </c>
      <c r="E55" s="21" t="s">
        <v>3</v>
      </c>
      <c r="F55" s="21" t="s">
        <v>3</v>
      </c>
      <c r="G55" s="21" t="s">
        <v>3</v>
      </c>
      <c r="H55" s="23">
        <f>B120</f>
        <v>4130</v>
      </c>
      <c r="I55" s="20"/>
      <c r="J55" s="20"/>
      <c r="K55" s="20"/>
      <c r="L55" s="20"/>
      <c r="M55" s="20"/>
      <c r="N55" s="20"/>
      <c r="O55" s="20"/>
    </row>
    <row r="56" spans="1:15" x14ac:dyDescent="0.3">
      <c r="A56" s="21">
        <v>6</v>
      </c>
      <c r="B56" s="22">
        <v>46153</v>
      </c>
      <c r="C56" s="21" t="s">
        <v>0</v>
      </c>
      <c r="D56" s="21" t="s">
        <v>3</v>
      </c>
      <c r="E56" s="21" t="s">
        <v>4</v>
      </c>
      <c r="F56" s="21" t="s">
        <v>4</v>
      </c>
      <c r="G56" s="21" t="s">
        <v>4</v>
      </c>
      <c r="H56" s="25">
        <f>B118</f>
        <v>-2520</v>
      </c>
      <c r="I56" s="20"/>
      <c r="J56" s="20"/>
      <c r="K56" s="20"/>
      <c r="L56" s="20"/>
      <c r="M56" s="20"/>
      <c r="N56" s="20"/>
      <c r="O56" s="20"/>
    </row>
    <row r="57" spans="1:15" x14ac:dyDescent="0.3">
      <c r="A57" s="21">
        <v>7</v>
      </c>
      <c r="B57" s="22">
        <v>46154</v>
      </c>
      <c r="C57" s="21" t="s">
        <v>1</v>
      </c>
      <c r="D57" s="21" t="s">
        <v>4</v>
      </c>
      <c r="E57" s="21" t="s">
        <v>3</v>
      </c>
      <c r="F57" s="21" t="s">
        <v>3</v>
      </c>
      <c r="G57" s="21" t="s">
        <v>4</v>
      </c>
      <c r="H57" s="23">
        <f>B117</f>
        <v>980</v>
      </c>
      <c r="I57" s="20"/>
      <c r="J57" s="20"/>
      <c r="K57" s="20"/>
      <c r="L57" s="20"/>
      <c r="M57" s="20"/>
      <c r="N57" s="20"/>
      <c r="O57" s="20"/>
    </row>
    <row r="58" spans="1:15" x14ac:dyDescent="0.3">
      <c r="A58" s="21">
        <v>8</v>
      </c>
      <c r="B58" s="22">
        <v>46155</v>
      </c>
      <c r="C58" s="21" t="s">
        <v>0</v>
      </c>
      <c r="D58" s="21" t="s">
        <v>3</v>
      </c>
      <c r="E58" s="21" t="s">
        <v>4</v>
      </c>
      <c r="F58" s="21" t="s">
        <v>4</v>
      </c>
      <c r="G58" s="21" t="s">
        <v>4</v>
      </c>
      <c r="H58" s="25">
        <f>B118</f>
        <v>-2520</v>
      </c>
      <c r="I58" s="20"/>
      <c r="J58" s="20"/>
      <c r="K58" s="20"/>
      <c r="L58" s="20"/>
      <c r="M58" s="20"/>
      <c r="N58" s="20"/>
      <c r="O58" s="20"/>
    </row>
    <row r="59" spans="1:15" x14ac:dyDescent="0.3">
      <c r="A59" s="21">
        <v>9</v>
      </c>
      <c r="B59" s="22">
        <v>46156</v>
      </c>
      <c r="C59" s="21" t="s">
        <v>15</v>
      </c>
      <c r="D59" s="21" t="s">
        <v>15</v>
      </c>
      <c r="E59" s="21"/>
      <c r="F59" s="21"/>
      <c r="G59" s="21"/>
      <c r="H59" s="23"/>
      <c r="I59" s="20"/>
      <c r="J59" s="20"/>
      <c r="K59" s="20"/>
      <c r="L59" s="20"/>
      <c r="M59" s="20"/>
      <c r="N59" s="20"/>
      <c r="O59" s="20"/>
    </row>
    <row r="60" spans="1:15" x14ac:dyDescent="0.3">
      <c r="A60" s="21">
        <v>10</v>
      </c>
      <c r="B60" s="22">
        <v>46157</v>
      </c>
      <c r="C60" s="21" t="s">
        <v>1</v>
      </c>
      <c r="D60" s="21" t="s">
        <v>4</v>
      </c>
      <c r="E60" s="21" t="s">
        <v>3</v>
      </c>
      <c r="F60" s="21" t="s">
        <v>3</v>
      </c>
      <c r="G60" s="21" t="s">
        <v>4</v>
      </c>
      <c r="H60" s="23">
        <f>B117</f>
        <v>980</v>
      </c>
      <c r="I60" s="20"/>
      <c r="J60" s="20"/>
      <c r="K60" s="20"/>
      <c r="L60" s="20"/>
      <c r="M60" s="20"/>
      <c r="N60" s="20"/>
      <c r="O60" s="20"/>
    </row>
    <row r="61" spans="1:15" x14ac:dyDescent="0.3">
      <c r="A61" s="21">
        <v>11</v>
      </c>
      <c r="B61" s="22">
        <v>46160</v>
      </c>
      <c r="C61" s="21" t="s">
        <v>0</v>
      </c>
      <c r="D61" s="21" t="s">
        <v>4</v>
      </c>
      <c r="E61" s="21" t="s">
        <v>3</v>
      </c>
      <c r="F61" s="21" t="s">
        <v>3</v>
      </c>
      <c r="G61" s="21" t="s">
        <v>4</v>
      </c>
      <c r="H61" s="23">
        <f>B117</f>
        <v>980</v>
      </c>
      <c r="I61" s="20"/>
      <c r="J61" s="20"/>
      <c r="K61" s="20"/>
      <c r="L61" s="20"/>
      <c r="M61" s="20"/>
      <c r="N61" s="20"/>
      <c r="O61" s="20"/>
    </row>
    <row r="62" spans="1:15" x14ac:dyDescent="0.3">
      <c r="A62" s="21">
        <v>12</v>
      </c>
      <c r="B62" s="22">
        <v>46161</v>
      </c>
      <c r="C62" s="21" t="s">
        <v>1</v>
      </c>
      <c r="D62" s="21" t="s">
        <v>4</v>
      </c>
      <c r="E62" s="21" t="s">
        <v>3</v>
      </c>
      <c r="F62" s="21" t="s">
        <v>3</v>
      </c>
      <c r="G62" s="21" t="s">
        <v>4</v>
      </c>
      <c r="H62" s="23">
        <f>B117</f>
        <v>980</v>
      </c>
      <c r="I62" s="20"/>
      <c r="J62" s="20"/>
      <c r="K62" s="20"/>
      <c r="L62" s="20"/>
      <c r="M62" s="20"/>
      <c r="N62" s="20"/>
      <c r="O62" s="20"/>
    </row>
    <row r="63" spans="1:15" x14ac:dyDescent="0.3">
      <c r="A63" s="21">
        <v>13</v>
      </c>
      <c r="B63" s="22">
        <v>46162</v>
      </c>
      <c r="C63" s="21" t="s">
        <v>0</v>
      </c>
      <c r="D63" s="21" t="s">
        <v>4</v>
      </c>
      <c r="E63" s="21" t="s">
        <v>3</v>
      </c>
      <c r="F63" s="21" t="s">
        <v>3</v>
      </c>
      <c r="G63" s="21" t="s">
        <v>3</v>
      </c>
      <c r="H63" s="23">
        <f>B120</f>
        <v>4130</v>
      </c>
      <c r="I63" s="20"/>
      <c r="J63" s="20"/>
      <c r="K63" s="20"/>
      <c r="L63" s="20"/>
      <c r="M63" s="20"/>
      <c r="N63" s="20"/>
      <c r="O63" s="20"/>
    </row>
    <row r="64" spans="1:15" x14ac:dyDescent="0.3">
      <c r="A64" s="21">
        <v>14</v>
      </c>
      <c r="B64" s="22">
        <v>46163</v>
      </c>
      <c r="C64" s="21" t="s">
        <v>1</v>
      </c>
      <c r="D64" s="21" t="s">
        <v>3</v>
      </c>
      <c r="E64" s="21" t="s">
        <v>4</v>
      </c>
      <c r="F64" s="21" t="s">
        <v>4</v>
      </c>
      <c r="G64" s="21" t="s">
        <v>4</v>
      </c>
      <c r="H64" s="25">
        <f>B118</f>
        <v>-2520</v>
      </c>
      <c r="I64" s="20"/>
      <c r="J64" s="20"/>
      <c r="K64" s="20"/>
      <c r="L64" s="20"/>
      <c r="M64" s="20"/>
      <c r="N64" s="22"/>
      <c r="O64" s="21"/>
    </row>
    <row r="65" spans="1:15" x14ac:dyDescent="0.3">
      <c r="A65" s="21">
        <v>15</v>
      </c>
      <c r="B65" s="22">
        <v>46164</v>
      </c>
      <c r="C65" s="21" t="s">
        <v>0</v>
      </c>
      <c r="D65" s="21" t="s">
        <v>4</v>
      </c>
      <c r="E65" s="21" t="s">
        <v>3</v>
      </c>
      <c r="F65" s="21" t="s">
        <v>4</v>
      </c>
      <c r="G65" s="21" t="s">
        <v>4</v>
      </c>
      <c r="H65" s="23">
        <f>B116</f>
        <v>280</v>
      </c>
      <c r="I65" s="20"/>
      <c r="J65" s="20"/>
      <c r="K65" s="20"/>
      <c r="L65" s="20"/>
      <c r="M65" s="20"/>
      <c r="N65" s="22"/>
      <c r="O65" s="21"/>
    </row>
    <row r="66" spans="1:15" x14ac:dyDescent="0.3">
      <c r="A66" s="21">
        <v>16</v>
      </c>
      <c r="B66" s="22">
        <v>46167</v>
      </c>
      <c r="C66" s="21" t="s">
        <v>0</v>
      </c>
      <c r="D66" s="21" t="s">
        <v>4</v>
      </c>
      <c r="E66" s="21" t="s">
        <v>3</v>
      </c>
      <c r="F66" s="21" t="s">
        <v>3</v>
      </c>
      <c r="G66" s="21" t="s">
        <v>4</v>
      </c>
      <c r="H66" s="23">
        <f>B117</f>
        <v>980</v>
      </c>
      <c r="I66" s="20"/>
      <c r="J66" s="20"/>
      <c r="K66" s="20"/>
      <c r="L66" s="20"/>
      <c r="M66" s="20"/>
      <c r="N66" s="22"/>
      <c r="O66" s="21"/>
    </row>
    <row r="67" spans="1:15" x14ac:dyDescent="0.3">
      <c r="A67" s="21">
        <v>17</v>
      </c>
      <c r="B67" s="22">
        <v>46169</v>
      </c>
      <c r="C67" s="21" t="s">
        <v>1</v>
      </c>
      <c r="D67" s="21" t="s">
        <v>4</v>
      </c>
      <c r="E67" s="21" t="s">
        <v>3</v>
      </c>
      <c r="F67" s="21" t="s">
        <v>4</v>
      </c>
      <c r="G67" s="21" t="s">
        <v>4</v>
      </c>
      <c r="H67" s="23">
        <f>B116</f>
        <v>280</v>
      </c>
      <c r="I67" s="20"/>
      <c r="J67" s="20"/>
      <c r="K67" s="20"/>
      <c r="L67" s="20"/>
      <c r="M67" s="20"/>
      <c r="N67" s="22"/>
      <c r="O67" s="21"/>
    </row>
    <row r="68" spans="1:15" x14ac:dyDescent="0.3">
      <c r="A68" s="21">
        <v>18</v>
      </c>
      <c r="B68" s="22">
        <v>46170</v>
      </c>
      <c r="C68" s="21" t="s">
        <v>1</v>
      </c>
      <c r="D68" s="21" t="s">
        <v>3</v>
      </c>
      <c r="E68" s="21" t="s">
        <v>4</v>
      </c>
      <c r="F68" s="21" t="s">
        <v>4</v>
      </c>
      <c r="G68" s="21" t="s">
        <v>4</v>
      </c>
      <c r="H68" s="25">
        <f>B118</f>
        <v>-2520</v>
      </c>
      <c r="I68" s="20"/>
      <c r="J68" s="20"/>
      <c r="K68" s="20"/>
      <c r="L68" s="20"/>
      <c r="M68" s="20"/>
      <c r="N68" s="22"/>
      <c r="O68" s="21"/>
    </row>
    <row r="69" spans="1:15" x14ac:dyDescent="0.3">
      <c r="A69" s="21">
        <v>19</v>
      </c>
      <c r="B69" s="22">
        <v>46171</v>
      </c>
      <c r="C69" s="21" t="s">
        <v>1</v>
      </c>
      <c r="D69" s="21" t="s">
        <v>4</v>
      </c>
      <c r="E69" s="21" t="s">
        <v>3</v>
      </c>
      <c r="F69" s="21" t="s">
        <v>3</v>
      </c>
      <c r="G69" s="21" t="s">
        <v>4</v>
      </c>
      <c r="H69" s="23">
        <f>B117</f>
        <v>980</v>
      </c>
      <c r="I69" s="20"/>
      <c r="J69" s="20"/>
      <c r="K69" s="20"/>
      <c r="L69" s="20"/>
      <c r="M69" s="20"/>
      <c r="N69" s="22"/>
      <c r="O69" s="21"/>
    </row>
    <row r="70" spans="1:15" x14ac:dyDescent="0.3">
      <c r="A70" s="21">
        <v>20</v>
      </c>
      <c r="B70" s="22">
        <v>46174</v>
      </c>
      <c r="C70" s="21" t="s">
        <v>0</v>
      </c>
      <c r="D70" s="21" t="s">
        <v>4</v>
      </c>
      <c r="E70" s="21" t="s">
        <v>3</v>
      </c>
      <c r="F70" s="21" t="s">
        <v>3</v>
      </c>
      <c r="G70" s="21" t="s">
        <v>4</v>
      </c>
      <c r="H70" s="23">
        <f>B117</f>
        <v>980</v>
      </c>
      <c r="I70" s="20"/>
      <c r="J70" s="20"/>
      <c r="K70" s="20"/>
      <c r="L70" s="20"/>
      <c r="M70" s="20"/>
      <c r="N70" s="22"/>
      <c r="O70" s="21"/>
    </row>
    <row r="71" spans="1:15" x14ac:dyDescent="0.3">
      <c r="A71" s="21">
        <v>21</v>
      </c>
      <c r="B71" s="22">
        <v>46175</v>
      </c>
      <c r="C71" s="21" t="s">
        <v>0</v>
      </c>
      <c r="D71" s="21" t="s">
        <v>4</v>
      </c>
      <c r="E71" s="21" t="s">
        <v>3</v>
      </c>
      <c r="F71" s="21" t="s">
        <v>4</v>
      </c>
      <c r="G71" s="21" t="s">
        <v>4</v>
      </c>
      <c r="H71" s="23">
        <f>B116</f>
        <v>280</v>
      </c>
      <c r="I71" s="20"/>
      <c r="J71" s="20"/>
      <c r="K71" s="20"/>
      <c r="L71" s="20"/>
      <c r="M71" s="20"/>
      <c r="N71" s="22"/>
      <c r="O71" s="21"/>
    </row>
    <row r="72" spans="1:15" x14ac:dyDescent="0.3">
      <c r="A72" s="21">
        <v>22</v>
      </c>
      <c r="B72" s="22">
        <v>46176</v>
      </c>
      <c r="C72" s="21" t="s">
        <v>1</v>
      </c>
      <c r="D72" s="21" t="s">
        <v>4</v>
      </c>
      <c r="E72" s="21" t="s">
        <v>3</v>
      </c>
      <c r="F72" s="21" t="s">
        <v>3</v>
      </c>
      <c r="G72" s="21" t="s">
        <v>3</v>
      </c>
      <c r="H72" s="23">
        <f>B120</f>
        <v>4130</v>
      </c>
      <c r="I72" s="20"/>
      <c r="J72" s="20"/>
      <c r="K72" s="20"/>
      <c r="L72" s="20"/>
      <c r="M72" s="20"/>
      <c r="N72" s="21"/>
      <c r="O72" s="21"/>
    </row>
    <row r="73" spans="1:15" x14ac:dyDescent="0.3">
      <c r="A73" s="21">
        <v>23</v>
      </c>
      <c r="B73" s="22">
        <v>46178</v>
      </c>
      <c r="C73" s="21" t="s">
        <v>1</v>
      </c>
      <c r="D73" s="21" t="s">
        <v>4</v>
      </c>
      <c r="E73" s="21" t="s">
        <v>3</v>
      </c>
      <c r="F73" s="21" t="s">
        <v>4</v>
      </c>
      <c r="G73" s="21" t="s">
        <v>4</v>
      </c>
      <c r="H73" s="23">
        <f>B116</f>
        <v>280</v>
      </c>
      <c r="I73" s="20"/>
      <c r="J73" s="20"/>
      <c r="K73" s="20"/>
      <c r="L73" s="20"/>
      <c r="M73" s="20"/>
      <c r="N73" s="22"/>
      <c r="O73" s="21"/>
    </row>
    <row r="74" spans="1:15" x14ac:dyDescent="0.3">
      <c r="A74" s="21"/>
      <c r="B74" s="21"/>
      <c r="C74" s="21"/>
      <c r="D74" s="21"/>
      <c r="E74" s="21"/>
      <c r="F74" s="21"/>
      <c r="G74" s="21"/>
      <c r="H74" s="18"/>
      <c r="I74" s="20"/>
      <c r="J74" s="20"/>
      <c r="K74" s="20"/>
      <c r="L74" s="20"/>
      <c r="M74" s="20"/>
      <c r="N74" s="22"/>
      <c r="O74" s="21"/>
    </row>
    <row r="75" spans="1:15" x14ac:dyDescent="0.3">
      <c r="A75" s="20"/>
      <c r="B75" s="20"/>
      <c r="C75" s="20"/>
      <c r="D75" s="20"/>
      <c r="E75" s="20"/>
      <c r="F75" s="20"/>
      <c r="G75" s="20"/>
      <c r="H75" s="26">
        <f>SUM(H51:H74)</f>
        <v>8750</v>
      </c>
      <c r="I75" s="20"/>
      <c r="J75" s="20"/>
      <c r="K75" s="20"/>
      <c r="L75" s="20"/>
      <c r="M75" s="20"/>
      <c r="N75" s="22"/>
      <c r="O75" s="21"/>
    </row>
    <row r="76" spans="1:15" x14ac:dyDescent="0.3">
      <c r="A76" s="20"/>
      <c r="B76" s="20"/>
      <c r="C76" s="20"/>
      <c r="D76" s="20"/>
      <c r="E76" s="20"/>
      <c r="F76" s="20"/>
      <c r="G76" s="20"/>
      <c r="H76" s="26"/>
      <c r="I76" s="20"/>
      <c r="J76" s="20"/>
      <c r="K76" s="20"/>
      <c r="L76" s="20"/>
      <c r="M76" s="20"/>
      <c r="N76" s="22"/>
      <c r="O76" s="21"/>
    </row>
    <row r="77" spans="1:15" x14ac:dyDescent="0.3">
      <c r="A77" s="20"/>
      <c r="B77" s="20"/>
      <c r="C77" s="20"/>
      <c r="D77" s="21" t="s">
        <v>2</v>
      </c>
      <c r="E77" s="21" t="s">
        <v>7</v>
      </c>
      <c r="F77" s="21" t="s">
        <v>9</v>
      </c>
      <c r="G77" s="21" t="s">
        <v>11</v>
      </c>
      <c r="H77" s="24"/>
      <c r="I77" s="20"/>
      <c r="J77" s="20"/>
      <c r="K77" s="20"/>
      <c r="L77" s="20"/>
      <c r="M77" s="20"/>
      <c r="N77" s="22"/>
      <c r="O77" s="21"/>
    </row>
    <row r="78" spans="1:15" x14ac:dyDescent="0.3">
      <c r="A78" s="21"/>
      <c r="B78" s="22">
        <v>46174</v>
      </c>
      <c r="C78" s="19" t="s">
        <v>0</v>
      </c>
      <c r="D78" s="21" t="s">
        <v>15</v>
      </c>
      <c r="E78" s="21"/>
      <c r="F78" s="21"/>
      <c r="G78" s="21"/>
      <c r="H78" s="23"/>
      <c r="I78" s="21"/>
      <c r="J78" s="21"/>
      <c r="K78" s="20"/>
      <c r="L78" s="20"/>
      <c r="M78" s="20"/>
      <c r="N78" s="22"/>
      <c r="O78" s="21"/>
    </row>
    <row r="79" spans="1:15" x14ac:dyDescent="0.3">
      <c r="A79" s="21"/>
      <c r="B79" s="22">
        <v>46175</v>
      </c>
      <c r="C79" s="19" t="s">
        <v>0</v>
      </c>
      <c r="D79" s="21" t="s">
        <v>4</v>
      </c>
      <c r="E79" s="21" t="s">
        <v>3</v>
      </c>
      <c r="F79" s="21" t="s">
        <v>4</v>
      </c>
      <c r="G79" s="21" t="s">
        <v>4</v>
      </c>
      <c r="H79" s="23">
        <f>B116</f>
        <v>280</v>
      </c>
      <c r="I79" s="21"/>
      <c r="J79" s="21"/>
      <c r="K79" s="20"/>
      <c r="L79" s="20"/>
      <c r="M79" s="20"/>
      <c r="N79" s="22"/>
      <c r="O79" s="21"/>
    </row>
    <row r="80" spans="1:15" x14ac:dyDescent="0.3">
      <c r="A80" s="21"/>
      <c r="B80" s="22">
        <v>46176</v>
      </c>
      <c r="C80" s="19" t="s">
        <v>1</v>
      </c>
      <c r="D80" s="21" t="s">
        <v>4</v>
      </c>
      <c r="E80" s="21" t="s">
        <v>3</v>
      </c>
      <c r="F80" s="21" t="s">
        <v>3</v>
      </c>
      <c r="G80" s="21" t="s">
        <v>3</v>
      </c>
      <c r="H80" s="23">
        <f>B120</f>
        <v>4130</v>
      </c>
      <c r="I80" s="21"/>
      <c r="J80" s="21"/>
      <c r="K80" s="20"/>
      <c r="L80" s="20"/>
      <c r="M80" s="20"/>
      <c r="N80" s="22"/>
      <c r="O80" s="21"/>
    </row>
    <row r="81" spans="1:15" x14ac:dyDescent="0.3">
      <c r="A81" s="21"/>
      <c r="B81" s="22">
        <v>46178</v>
      </c>
      <c r="C81" s="19" t="s">
        <v>1</v>
      </c>
      <c r="D81" s="21" t="s">
        <v>4</v>
      </c>
      <c r="E81" s="21" t="s">
        <v>3</v>
      </c>
      <c r="F81" s="21" t="s">
        <v>4</v>
      </c>
      <c r="G81" s="21" t="s">
        <v>4</v>
      </c>
      <c r="H81" s="23">
        <f>B116</f>
        <v>280</v>
      </c>
      <c r="I81" s="21"/>
      <c r="J81" s="21"/>
      <c r="K81" s="20"/>
      <c r="L81" s="20"/>
      <c r="M81" s="20"/>
      <c r="N81" s="22"/>
      <c r="O81" s="21"/>
    </row>
    <row r="82" spans="1:15" x14ac:dyDescent="0.3">
      <c r="A82" s="21"/>
      <c r="B82" s="22">
        <v>46181</v>
      </c>
      <c r="C82" s="19" t="s">
        <v>0</v>
      </c>
      <c r="D82" s="21" t="s">
        <v>3</v>
      </c>
      <c r="E82" s="21" t="s">
        <v>4</v>
      </c>
      <c r="F82" s="21" t="s">
        <v>4</v>
      </c>
      <c r="G82" s="21" t="s">
        <v>4</v>
      </c>
      <c r="H82" s="25">
        <f>B118</f>
        <v>-2520</v>
      </c>
      <c r="I82" s="21"/>
      <c r="J82" s="21"/>
      <c r="K82" s="20"/>
      <c r="L82" s="20"/>
      <c r="M82" s="20"/>
      <c r="N82" s="22"/>
      <c r="O82" s="21"/>
    </row>
    <row r="83" spans="1:15" x14ac:dyDescent="0.3">
      <c r="A83" s="21"/>
      <c r="B83" s="22"/>
      <c r="C83" s="19"/>
      <c r="D83" s="21"/>
      <c r="E83" s="21"/>
      <c r="F83" s="21"/>
      <c r="G83" s="21"/>
      <c r="H83" s="23"/>
      <c r="I83" s="21"/>
      <c r="J83" s="21"/>
      <c r="K83" s="20"/>
      <c r="L83" s="20"/>
      <c r="M83" s="20"/>
      <c r="N83" s="22"/>
      <c r="O83" s="21"/>
    </row>
    <row r="84" spans="1:15" x14ac:dyDescent="0.3">
      <c r="A84" s="21"/>
      <c r="B84" s="22"/>
      <c r="C84" s="19"/>
      <c r="D84" s="21"/>
      <c r="E84" s="21"/>
      <c r="F84" s="21"/>
      <c r="G84" s="21"/>
      <c r="H84" s="23"/>
      <c r="I84" s="21"/>
      <c r="J84" s="21"/>
      <c r="K84" s="20"/>
      <c r="L84" s="20"/>
      <c r="M84" s="20"/>
      <c r="N84" s="22"/>
      <c r="O84" s="21"/>
    </row>
    <row r="85" spans="1:15" x14ac:dyDescent="0.3">
      <c r="A85" s="21"/>
      <c r="B85" s="22"/>
      <c r="C85" s="19"/>
      <c r="D85" s="21"/>
      <c r="E85" s="21"/>
      <c r="F85" s="21"/>
      <c r="G85" s="21"/>
      <c r="H85" s="23"/>
      <c r="I85" s="21"/>
      <c r="J85" s="21"/>
      <c r="K85" s="20"/>
      <c r="L85" s="20"/>
      <c r="M85" s="20"/>
      <c r="N85" s="22"/>
      <c r="O85" s="21"/>
    </row>
    <row r="86" spans="1:15" x14ac:dyDescent="0.3">
      <c r="A86" s="21"/>
      <c r="B86" s="22"/>
      <c r="C86" s="19"/>
      <c r="D86" s="21"/>
      <c r="E86" s="21"/>
      <c r="F86" s="21"/>
      <c r="G86" s="21"/>
      <c r="H86" s="23"/>
      <c r="I86" s="21"/>
      <c r="J86" s="21"/>
      <c r="K86" s="20"/>
      <c r="L86" s="20"/>
      <c r="M86" s="20"/>
      <c r="N86" s="22"/>
      <c r="O86" s="21"/>
    </row>
    <row r="87" spans="1:15" x14ac:dyDescent="0.3">
      <c r="A87" s="21"/>
      <c r="B87" s="22"/>
      <c r="C87" s="19"/>
      <c r="D87" s="21"/>
      <c r="E87" s="21"/>
      <c r="F87" s="21"/>
      <c r="G87" s="21"/>
      <c r="H87" s="23"/>
      <c r="I87" s="21"/>
      <c r="J87" s="21"/>
      <c r="K87" s="20"/>
      <c r="L87" s="20"/>
      <c r="M87" s="20"/>
      <c r="N87" s="22"/>
      <c r="O87" s="21"/>
    </row>
    <row r="88" spans="1:15" x14ac:dyDescent="0.3">
      <c r="A88" s="21"/>
      <c r="B88" s="22"/>
      <c r="C88" s="19"/>
      <c r="D88" s="21"/>
      <c r="E88" s="21"/>
      <c r="F88" s="21"/>
      <c r="G88" s="21"/>
      <c r="H88" s="23"/>
      <c r="I88" s="21"/>
      <c r="J88" s="21"/>
      <c r="K88" s="20"/>
      <c r="L88" s="20"/>
      <c r="M88" s="20"/>
      <c r="N88" s="22"/>
      <c r="O88" s="21"/>
    </row>
    <row r="89" spans="1:15" x14ac:dyDescent="0.3">
      <c r="A89" s="21"/>
      <c r="B89" s="22"/>
      <c r="C89" s="19"/>
      <c r="D89" s="21"/>
      <c r="E89" s="21"/>
      <c r="F89" s="21"/>
      <c r="G89" s="21"/>
      <c r="H89" s="23"/>
      <c r="I89" s="21"/>
      <c r="J89" s="21"/>
      <c r="K89" s="20"/>
      <c r="L89" s="20"/>
      <c r="M89" s="20"/>
      <c r="N89" s="22"/>
      <c r="O89" s="21"/>
    </row>
    <row r="90" spans="1:15" x14ac:dyDescent="0.3">
      <c r="A90" s="21"/>
      <c r="B90" s="22"/>
      <c r="C90" s="19"/>
      <c r="D90" s="21"/>
      <c r="E90" s="21"/>
      <c r="F90" s="21"/>
      <c r="G90" s="21"/>
      <c r="H90" s="23"/>
      <c r="I90" s="21"/>
      <c r="J90" s="21"/>
      <c r="K90" s="20"/>
      <c r="L90" s="20"/>
      <c r="M90" s="20"/>
      <c r="N90" s="22"/>
      <c r="O90" s="21"/>
    </row>
    <row r="91" spans="1:15" x14ac:dyDescent="0.3">
      <c r="A91" s="21"/>
      <c r="B91" s="22"/>
      <c r="C91" s="19"/>
      <c r="D91" s="21"/>
      <c r="E91" s="21"/>
      <c r="F91" s="21"/>
      <c r="G91" s="21"/>
      <c r="H91" s="23"/>
      <c r="I91" s="21"/>
      <c r="J91" s="21"/>
      <c r="K91" s="20"/>
      <c r="L91" s="20"/>
      <c r="M91" s="20"/>
      <c r="N91" s="22"/>
      <c r="O91" s="21"/>
    </row>
    <row r="92" spans="1:15" x14ac:dyDescent="0.3">
      <c r="A92" s="21"/>
      <c r="B92" s="22"/>
      <c r="C92" s="19"/>
      <c r="D92" s="21"/>
      <c r="E92" s="21"/>
      <c r="F92" s="21"/>
      <c r="G92" s="21"/>
      <c r="H92" s="23"/>
      <c r="I92" s="21"/>
      <c r="J92" s="21"/>
      <c r="K92" s="20"/>
      <c r="L92" s="20"/>
      <c r="M92" s="20"/>
      <c r="N92" s="22"/>
      <c r="O92" s="21"/>
    </row>
    <row r="93" spans="1:15" x14ac:dyDescent="0.3">
      <c r="A93" s="21"/>
      <c r="B93" s="22"/>
      <c r="C93" s="19"/>
      <c r="D93" s="21"/>
      <c r="E93" s="21"/>
      <c r="F93" s="21"/>
      <c r="G93" s="21"/>
      <c r="H93" s="23"/>
      <c r="I93" s="21"/>
      <c r="J93" s="21"/>
      <c r="K93" s="20"/>
      <c r="L93" s="20"/>
      <c r="M93" s="20"/>
      <c r="N93" s="22"/>
      <c r="O93" s="21"/>
    </row>
    <row r="94" spans="1:15" x14ac:dyDescent="0.3">
      <c r="A94" s="21"/>
      <c r="B94" s="22"/>
      <c r="C94" s="19"/>
      <c r="D94" s="21"/>
      <c r="E94" s="21"/>
      <c r="F94" s="21"/>
      <c r="G94" s="21"/>
      <c r="H94" s="23"/>
      <c r="I94" s="21"/>
      <c r="J94" s="21"/>
      <c r="K94" s="20"/>
      <c r="L94" s="20"/>
      <c r="M94" s="20"/>
      <c r="N94" s="22"/>
      <c r="O94" s="21"/>
    </row>
    <row r="95" spans="1:15" x14ac:dyDescent="0.3">
      <c r="A95" s="21"/>
      <c r="B95" s="22"/>
      <c r="C95" s="19"/>
      <c r="D95" s="21"/>
      <c r="E95" s="21"/>
      <c r="F95" s="21"/>
      <c r="G95" s="21"/>
      <c r="H95" s="23"/>
      <c r="I95" s="21"/>
      <c r="J95" s="21"/>
      <c r="K95" s="20"/>
      <c r="L95" s="20"/>
      <c r="M95" s="20"/>
      <c r="N95" s="22"/>
      <c r="O95" s="21"/>
    </row>
    <row r="96" spans="1:15" x14ac:dyDescent="0.3">
      <c r="A96" s="21"/>
      <c r="B96" s="22"/>
      <c r="C96" s="19"/>
      <c r="D96" s="21"/>
      <c r="E96" s="21"/>
      <c r="F96" s="21"/>
      <c r="G96" s="21"/>
      <c r="H96" s="23"/>
      <c r="I96" s="21"/>
      <c r="J96" s="21"/>
      <c r="K96" s="20"/>
      <c r="L96" s="20"/>
      <c r="M96" s="20"/>
      <c r="N96" s="22"/>
      <c r="O96" s="21"/>
    </row>
    <row r="97" spans="1:15" x14ac:dyDescent="0.3">
      <c r="A97" s="21"/>
      <c r="B97" s="22"/>
      <c r="C97" s="19"/>
      <c r="D97" s="21"/>
      <c r="E97" s="21"/>
      <c r="F97" s="21"/>
      <c r="G97" s="21"/>
      <c r="H97" s="23"/>
      <c r="I97" s="21"/>
      <c r="J97" s="21"/>
      <c r="K97" s="20"/>
      <c r="L97" s="20"/>
      <c r="M97" s="20"/>
      <c r="N97" s="22"/>
      <c r="O97" s="21"/>
    </row>
    <row r="98" spans="1:15" x14ac:dyDescent="0.3">
      <c r="A98" s="21"/>
      <c r="B98" s="22"/>
      <c r="C98" s="19"/>
      <c r="D98" s="21"/>
      <c r="E98" s="21"/>
      <c r="F98" s="21"/>
      <c r="G98" s="21"/>
      <c r="H98" s="23"/>
      <c r="I98" s="21"/>
      <c r="J98" s="21"/>
      <c r="K98" s="20"/>
      <c r="L98" s="20"/>
      <c r="M98" s="20"/>
      <c r="N98" s="22"/>
      <c r="O98" s="21"/>
    </row>
    <row r="99" spans="1:15" x14ac:dyDescent="0.3">
      <c r="A99" s="21"/>
      <c r="B99" s="22"/>
      <c r="C99" s="19"/>
      <c r="D99" s="21"/>
      <c r="E99" s="21"/>
      <c r="F99" s="21"/>
      <c r="G99" s="21"/>
      <c r="H99" s="23"/>
      <c r="I99" s="21"/>
      <c r="J99" s="21"/>
      <c r="K99" s="20"/>
      <c r="L99" s="20"/>
      <c r="M99" s="20"/>
      <c r="N99" s="22"/>
      <c r="O99" s="21"/>
    </row>
    <row r="100" spans="1:15" x14ac:dyDescent="0.3">
      <c r="A100" s="21"/>
      <c r="B100" s="21"/>
      <c r="C100" s="21"/>
      <c r="D100" s="21"/>
      <c r="E100" s="21"/>
      <c r="F100" s="21"/>
      <c r="G100" s="21"/>
      <c r="H100" s="23"/>
      <c r="I100" s="21"/>
      <c r="J100" s="21"/>
      <c r="K100" s="20"/>
      <c r="L100" s="20"/>
      <c r="M100" s="20"/>
      <c r="N100" s="22"/>
      <c r="O100" s="21"/>
    </row>
    <row r="101" spans="1:15" x14ac:dyDescent="0.3">
      <c r="A101" s="21"/>
      <c r="B101" s="21"/>
      <c r="C101" s="21"/>
      <c r="D101" s="21"/>
      <c r="E101" s="21"/>
      <c r="F101" s="21"/>
      <c r="G101" s="21"/>
      <c r="H101" s="23"/>
      <c r="I101" s="21"/>
      <c r="J101" s="21"/>
      <c r="K101" s="20"/>
      <c r="L101" s="20"/>
      <c r="M101" s="20"/>
      <c r="N101" s="22"/>
      <c r="O101" s="21"/>
    </row>
    <row r="102" spans="1:15" x14ac:dyDescent="0.3">
      <c r="A102" s="32" t="s">
        <v>12</v>
      </c>
      <c r="B102" s="32"/>
      <c r="C102" s="32"/>
      <c r="D102" s="32"/>
      <c r="E102" s="32"/>
      <c r="F102" s="32"/>
      <c r="G102" s="32"/>
      <c r="H102" s="23"/>
      <c r="I102" s="21"/>
      <c r="J102" s="21"/>
      <c r="K102" s="20"/>
      <c r="L102" s="20"/>
      <c r="M102" s="20"/>
      <c r="N102" s="20"/>
      <c r="O102" s="20"/>
    </row>
    <row r="103" spans="1:15" x14ac:dyDescent="0.3">
      <c r="A103" s="21"/>
      <c r="B103" s="21"/>
      <c r="C103" s="21" t="s">
        <v>6</v>
      </c>
      <c r="D103" s="21" t="s">
        <v>25</v>
      </c>
      <c r="E103" s="21"/>
      <c r="F103" s="21"/>
      <c r="G103" s="21"/>
      <c r="H103" s="23"/>
      <c r="I103" s="21"/>
      <c r="J103" s="21"/>
      <c r="K103" s="20"/>
      <c r="L103" s="20"/>
      <c r="M103" s="20"/>
      <c r="N103" s="20"/>
      <c r="O103" s="20"/>
    </row>
    <row r="104" spans="1:15" x14ac:dyDescent="0.3">
      <c r="A104" s="21" t="s">
        <v>6</v>
      </c>
      <c r="B104" s="21">
        <v>21</v>
      </c>
      <c r="C104" s="21"/>
      <c r="D104" s="21">
        <v>0.2</v>
      </c>
      <c r="E104" s="21"/>
      <c r="F104" s="21"/>
      <c r="G104" s="21"/>
      <c r="H104" s="23"/>
      <c r="I104" s="21"/>
      <c r="J104" s="21"/>
      <c r="K104" s="20"/>
      <c r="L104" s="20"/>
      <c r="M104" s="20"/>
      <c r="N104" s="20"/>
      <c r="O104" s="20"/>
    </row>
    <row r="105" spans="1:15" x14ac:dyDescent="0.3">
      <c r="A105" s="21" t="s">
        <v>7</v>
      </c>
      <c r="B105" s="21">
        <v>300</v>
      </c>
      <c r="C105" s="21">
        <f>B104/3</f>
        <v>7</v>
      </c>
      <c r="D105" s="21"/>
      <c r="E105" s="21"/>
      <c r="F105" s="21"/>
      <c r="G105" s="21"/>
      <c r="H105" s="23"/>
      <c r="I105" s="21"/>
      <c r="J105" s="21"/>
      <c r="K105" s="20"/>
      <c r="L105" s="20"/>
      <c r="M105" s="20"/>
      <c r="N105" s="20"/>
      <c r="O105" s="20"/>
    </row>
    <row r="106" spans="1:15" x14ac:dyDescent="0.3">
      <c r="A106" s="21" t="s">
        <v>9</v>
      </c>
      <c r="B106" s="21">
        <v>450</v>
      </c>
      <c r="C106" s="21">
        <f>B104/3</f>
        <v>7</v>
      </c>
      <c r="D106" s="21"/>
      <c r="E106" s="21"/>
      <c r="F106" s="21"/>
      <c r="G106" s="21"/>
      <c r="H106" s="23"/>
      <c r="I106" s="21"/>
      <c r="J106" s="21"/>
      <c r="K106" s="20"/>
      <c r="L106" s="20"/>
      <c r="M106" s="20"/>
      <c r="N106" s="20"/>
      <c r="O106" s="20"/>
    </row>
    <row r="107" spans="1:15" x14ac:dyDescent="0.3">
      <c r="A107" s="2" t="s">
        <v>24</v>
      </c>
      <c r="B107" s="2">
        <v>-50</v>
      </c>
      <c r="C107" s="2"/>
      <c r="D107" s="2"/>
      <c r="E107" s="2"/>
      <c r="F107" s="2"/>
      <c r="G107" s="2"/>
      <c r="H107" s="4"/>
      <c r="I107" s="2"/>
      <c r="J107" s="2"/>
    </row>
    <row r="108" spans="1:15" x14ac:dyDescent="0.3">
      <c r="A108" s="2" t="s">
        <v>2</v>
      </c>
      <c r="B108" s="2">
        <v>-600</v>
      </c>
      <c r="C108" s="2">
        <v>21</v>
      </c>
      <c r="D108" s="2"/>
      <c r="E108" s="2"/>
      <c r="F108" s="2"/>
      <c r="G108" s="2"/>
      <c r="H108" s="4"/>
      <c r="I108" s="2"/>
      <c r="J108" s="2"/>
    </row>
    <row r="109" spans="1:15" x14ac:dyDescent="0.3">
      <c r="A109" s="21" t="s">
        <v>11</v>
      </c>
      <c r="B109" s="21">
        <v>2200</v>
      </c>
      <c r="C109" s="21">
        <f>B104/3</f>
        <v>7</v>
      </c>
      <c r="H109" s="5"/>
    </row>
    <row r="110" spans="1:15" x14ac:dyDescent="0.3">
      <c r="H110" s="5"/>
    </row>
    <row r="111" spans="1:15" x14ac:dyDescent="0.3">
      <c r="H111" s="5"/>
    </row>
    <row r="112" spans="1:15" x14ac:dyDescent="0.3">
      <c r="A112" s="2" t="s">
        <v>7</v>
      </c>
      <c r="B112" s="4">
        <f>B105*C105*D104</f>
        <v>420</v>
      </c>
      <c r="C112" s="2"/>
      <c r="D112" s="2"/>
      <c r="E112" s="2"/>
      <c r="F112" s="2"/>
      <c r="G112" s="2"/>
      <c r="H112" s="5"/>
    </row>
    <row r="113" spans="1:7" x14ac:dyDescent="0.3">
      <c r="A113" s="2" t="s">
        <v>9</v>
      </c>
      <c r="B113" s="4">
        <f>B106*C106*D104</f>
        <v>630</v>
      </c>
      <c r="C113" s="2"/>
      <c r="D113" s="2"/>
      <c r="E113" s="2"/>
      <c r="F113" s="4"/>
      <c r="G113" s="2"/>
    </row>
    <row r="114" spans="1:7" x14ac:dyDescent="0.3">
      <c r="A114" s="2" t="s">
        <v>26</v>
      </c>
      <c r="B114" s="4">
        <f>B107*(C106+C109)*D104</f>
        <v>-140</v>
      </c>
      <c r="C114" s="2"/>
      <c r="D114" s="2"/>
      <c r="E114" s="2"/>
      <c r="F114" s="2"/>
      <c r="G114" s="2"/>
    </row>
    <row r="115" spans="1:7" x14ac:dyDescent="0.3">
      <c r="A115" s="2" t="s">
        <v>27</v>
      </c>
      <c r="B115" s="4">
        <f>B107*C109*D104</f>
        <v>-70</v>
      </c>
      <c r="C115" s="2"/>
      <c r="D115" s="2"/>
      <c r="E115" s="2"/>
      <c r="F115" s="2"/>
      <c r="G115" s="2"/>
    </row>
    <row r="116" spans="1:7" x14ac:dyDescent="0.3">
      <c r="A116" s="2" t="s">
        <v>28</v>
      </c>
      <c r="B116" s="4">
        <f>B112+B114</f>
        <v>280</v>
      </c>
      <c r="C116" s="2"/>
      <c r="D116" s="2"/>
      <c r="E116" s="2"/>
      <c r="F116" s="2"/>
      <c r="G116" s="2"/>
    </row>
    <row r="117" spans="1:7" x14ac:dyDescent="0.3">
      <c r="A117" s="2" t="s">
        <v>29</v>
      </c>
      <c r="B117" s="4">
        <f>B113+B112+B115</f>
        <v>980</v>
      </c>
      <c r="C117" s="2"/>
      <c r="D117" s="2"/>
      <c r="E117" s="2"/>
      <c r="F117" s="2"/>
      <c r="G117" s="2"/>
    </row>
    <row r="118" spans="1:7" x14ac:dyDescent="0.3">
      <c r="A118" s="2" t="s">
        <v>2</v>
      </c>
      <c r="B118" s="4">
        <f>B108*B104*D104</f>
        <v>-2520</v>
      </c>
      <c r="C118" s="2"/>
      <c r="D118" s="2"/>
      <c r="E118" s="2"/>
      <c r="F118" s="2"/>
      <c r="G118" s="2"/>
    </row>
    <row r="119" spans="1:7" x14ac:dyDescent="0.3">
      <c r="A119" s="2" t="s">
        <v>11</v>
      </c>
      <c r="B119" s="4">
        <f>B109*C109*D104</f>
        <v>3080</v>
      </c>
      <c r="C119" s="2"/>
      <c r="D119" s="2"/>
      <c r="E119" s="2"/>
      <c r="F119" s="2"/>
      <c r="G119" s="2"/>
    </row>
    <row r="120" spans="1:7" x14ac:dyDescent="0.3">
      <c r="A120" s="2" t="s">
        <v>30</v>
      </c>
      <c r="B120" s="4">
        <f>B112+B113+B119</f>
        <v>4130</v>
      </c>
      <c r="C120" s="2"/>
      <c r="D120" s="2"/>
      <c r="E120" s="2"/>
      <c r="F120" s="2"/>
      <c r="G120" s="2"/>
    </row>
    <row r="121" spans="1:7" x14ac:dyDescent="0.3">
      <c r="A121" s="2"/>
      <c r="B121" s="2"/>
      <c r="C121" s="2"/>
      <c r="D121" s="2"/>
      <c r="E121" s="2"/>
      <c r="F121" s="2"/>
      <c r="G121" s="2"/>
    </row>
    <row r="122" spans="1:7" x14ac:dyDescent="0.3">
      <c r="A122" s="2"/>
      <c r="B122" s="2"/>
      <c r="C122" s="2"/>
      <c r="D122" s="2"/>
      <c r="E122" s="2"/>
      <c r="F122" s="2"/>
      <c r="G122" s="2"/>
    </row>
    <row r="123" spans="1:7" x14ac:dyDescent="0.3">
      <c r="A123" s="2"/>
      <c r="B123" s="2"/>
      <c r="C123" s="2"/>
      <c r="D123" s="2"/>
      <c r="E123" s="2"/>
      <c r="F123" s="2"/>
      <c r="G123" s="2"/>
    </row>
  </sheetData>
  <mergeCells count="2">
    <mergeCell ref="A3:C3"/>
    <mergeCell ref="A102:G102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7E8B5-F7D5-4211-91D7-66D7EF787F00}">
  <dimension ref="A1:L86"/>
  <sheetViews>
    <sheetView workbookViewId="0">
      <selection activeCell="G25" sqref="G25"/>
    </sheetView>
  </sheetViews>
  <sheetFormatPr defaultRowHeight="14.4" x14ac:dyDescent="0.3"/>
  <cols>
    <col min="2" max="2" width="11.21875" bestFit="1" customWidth="1"/>
    <col min="3" max="3" width="10.6640625" bestFit="1" customWidth="1"/>
    <col min="4" max="4" width="10.21875" bestFit="1" customWidth="1"/>
    <col min="6" max="6" width="9.88671875" bestFit="1" customWidth="1"/>
    <col min="7" max="7" width="11.21875" bestFit="1" customWidth="1"/>
  </cols>
  <sheetData>
    <row r="1" spans="1:7" x14ac:dyDescent="0.3">
      <c r="A1" s="33" t="s">
        <v>17</v>
      </c>
      <c r="B1" s="33"/>
      <c r="C1" s="33"/>
    </row>
    <row r="2" spans="1:7" x14ac:dyDescent="0.3">
      <c r="A2" s="2"/>
      <c r="B2" s="2" t="s">
        <v>6</v>
      </c>
      <c r="C2" s="2">
        <v>9</v>
      </c>
    </row>
    <row r="3" spans="1:7" x14ac:dyDescent="0.3">
      <c r="A3" s="2"/>
      <c r="B3" s="2"/>
      <c r="C3" s="2"/>
    </row>
    <row r="4" spans="1:7" x14ac:dyDescent="0.3">
      <c r="D4" s="21" t="s">
        <v>2</v>
      </c>
      <c r="E4" s="21" t="s">
        <v>13</v>
      </c>
      <c r="F4" s="21" t="s">
        <v>11</v>
      </c>
      <c r="G4" s="5"/>
    </row>
    <row r="5" spans="1:7" x14ac:dyDescent="0.3">
      <c r="B5" s="3">
        <v>46085</v>
      </c>
      <c r="C5" s="2" t="s">
        <v>1</v>
      </c>
      <c r="D5" s="2" t="s">
        <v>4</v>
      </c>
      <c r="E5" s="2" t="s">
        <v>3</v>
      </c>
      <c r="F5" s="2" t="s">
        <v>3</v>
      </c>
      <c r="G5" s="4">
        <f>C2*22*10</f>
        <v>1980</v>
      </c>
    </row>
    <row r="6" spans="1:7" x14ac:dyDescent="0.3">
      <c r="B6" s="3">
        <v>46086</v>
      </c>
      <c r="C6" s="2" t="s">
        <v>1</v>
      </c>
      <c r="D6" s="2" t="s">
        <v>3</v>
      </c>
      <c r="E6" s="2" t="s">
        <v>4</v>
      </c>
      <c r="F6" s="2" t="s">
        <v>4</v>
      </c>
      <c r="G6" s="6">
        <f>-C2*12*10</f>
        <v>-1080</v>
      </c>
    </row>
    <row r="7" spans="1:7" x14ac:dyDescent="0.3">
      <c r="B7" s="3">
        <v>46087</v>
      </c>
      <c r="C7" s="2" t="s">
        <v>0</v>
      </c>
      <c r="D7" s="2" t="s">
        <v>3</v>
      </c>
      <c r="E7" s="2" t="s">
        <v>4</v>
      </c>
      <c r="F7" s="2" t="s">
        <v>4</v>
      </c>
      <c r="G7" s="6">
        <f>-C2*12*10</f>
        <v>-1080</v>
      </c>
    </row>
    <row r="8" spans="1:7" x14ac:dyDescent="0.3">
      <c r="B8" s="3">
        <v>46090</v>
      </c>
      <c r="C8" s="2" t="s">
        <v>0</v>
      </c>
      <c r="D8" s="2" t="s">
        <v>3</v>
      </c>
      <c r="E8" s="2" t="s">
        <v>4</v>
      </c>
      <c r="F8" s="2" t="s">
        <v>4</v>
      </c>
      <c r="G8" s="6">
        <f>-C2*12*10</f>
        <v>-1080</v>
      </c>
    </row>
    <row r="9" spans="1:7" x14ac:dyDescent="0.3">
      <c r="B9" s="3">
        <v>46091</v>
      </c>
      <c r="C9" s="2" t="s">
        <v>1</v>
      </c>
      <c r="D9" s="2" t="s">
        <v>3</v>
      </c>
      <c r="E9" s="2" t="s">
        <v>4</v>
      </c>
      <c r="F9" s="2" t="s">
        <v>3</v>
      </c>
      <c r="G9" s="6">
        <f>-C2*12*10</f>
        <v>-1080</v>
      </c>
    </row>
    <row r="10" spans="1:7" x14ac:dyDescent="0.3">
      <c r="B10" s="3">
        <v>46092</v>
      </c>
      <c r="C10" s="2" t="s">
        <v>1</v>
      </c>
      <c r="D10" s="2" t="s">
        <v>4</v>
      </c>
      <c r="E10" s="2" t="s">
        <v>3</v>
      </c>
      <c r="F10" s="2" t="s">
        <v>4</v>
      </c>
      <c r="G10" s="4">
        <f>C2*0.5*10</f>
        <v>45</v>
      </c>
    </row>
    <row r="11" spans="1:7" x14ac:dyDescent="0.3">
      <c r="B11" s="3">
        <v>46093</v>
      </c>
      <c r="C11" s="2" t="s">
        <v>0</v>
      </c>
      <c r="D11" s="2" t="s">
        <v>4</v>
      </c>
      <c r="E11" s="2" t="s">
        <v>3</v>
      </c>
      <c r="F11" s="2" t="s">
        <v>4</v>
      </c>
      <c r="G11" s="4">
        <f>C2*0.5*10</f>
        <v>45</v>
      </c>
    </row>
    <row r="12" spans="1:7" x14ac:dyDescent="0.3">
      <c r="B12" s="3">
        <v>46094</v>
      </c>
      <c r="C12" s="2" t="s">
        <v>0</v>
      </c>
      <c r="D12" s="2" t="s">
        <v>3</v>
      </c>
      <c r="E12" s="2" t="s">
        <v>4</v>
      </c>
      <c r="F12" s="2" t="s">
        <v>4</v>
      </c>
      <c r="G12" s="6">
        <f>-C2*12*10</f>
        <v>-1080</v>
      </c>
    </row>
    <row r="13" spans="1:7" x14ac:dyDescent="0.3">
      <c r="B13" s="3">
        <v>46097</v>
      </c>
      <c r="C13" s="2" t="s">
        <v>1</v>
      </c>
      <c r="D13" s="2" t="s">
        <v>4</v>
      </c>
      <c r="E13" s="2" t="s">
        <v>3</v>
      </c>
      <c r="F13" s="2" t="s">
        <v>3</v>
      </c>
      <c r="G13" s="4">
        <f>C2*22*10</f>
        <v>1980</v>
      </c>
    </row>
    <row r="14" spans="1:7" x14ac:dyDescent="0.3">
      <c r="B14" s="3">
        <v>46099</v>
      </c>
      <c r="C14" s="2" t="s">
        <v>1</v>
      </c>
      <c r="D14" s="2" t="s">
        <v>4</v>
      </c>
      <c r="E14" s="2" t="s">
        <v>3</v>
      </c>
      <c r="F14" s="2" t="s">
        <v>4</v>
      </c>
      <c r="G14" s="4">
        <f>C2*0.5*10</f>
        <v>45</v>
      </c>
    </row>
    <row r="15" spans="1:7" x14ac:dyDescent="0.3">
      <c r="B15" s="3">
        <v>46100</v>
      </c>
      <c r="C15" s="2" t="s">
        <v>1</v>
      </c>
      <c r="D15" s="2" t="s">
        <v>3</v>
      </c>
      <c r="E15" s="2" t="s">
        <v>4</v>
      </c>
      <c r="F15" s="2" t="s">
        <v>4</v>
      </c>
      <c r="G15" s="6">
        <f>-C2*12*10</f>
        <v>-1080</v>
      </c>
    </row>
    <row r="16" spans="1:7" x14ac:dyDescent="0.3">
      <c r="B16" s="3">
        <v>46101</v>
      </c>
      <c r="C16" s="2" t="s">
        <v>0</v>
      </c>
      <c r="D16" s="2" t="s">
        <v>3</v>
      </c>
      <c r="E16" s="2" t="s">
        <v>4</v>
      </c>
      <c r="F16" s="2" t="s">
        <v>4</v>
      </c>
      <c r="G16" s="6">
        <f>-C2*12*10</f>
        <v>-1080</v>
      </c>
    </row>
    <row r="17" spans="2:8" x14ac:dyDescent="0.3">
      <c r="B17" s="3">
        <v>46104</v>
      </c>
      <c r="C17" s="2" t="s">
        <v>0</v>
      </c>
      <c r="D17" s="2" t="s">
        <v>4</v>
      </c>
      <c r="E17" s="2" t="s">
        <v>4</v>
      </c>
      <c r="F17" s="2" t="s">
        <v>3</v>
      </c>
      <c r="G17" s="4">
        <f>C2*22*10</f>
        <v>1980</v>
      </c>
    </row>
    <row r="18" spans="2:8" x14ac:dyDescent="0.3">
      <c r="B18" s="3">
        <v>46105</v>
      </c>
      <c r="C18" s="2" t="s">
        <v>0</v>
      </c>
      <c r="D18" s="2" t="s">
        <v>4</v>
      </c>
      <c r="E18" s="2" t="s">
        <v>3</v>
      </c>
      <c r="F18" s="2" t="s">
        <v>3</v>
      </c>
      <c r="G18" s="4">
        <f>C2*22*10</f>
        <v>1980</v>
      </c>
    </row>
    <row r="19" spans="2:8" x14ac:dyDescent="0.3">
      <c r="B19" s="3">
        <v>46106</v>
      </c>
      <c r="C19" s="2" t="s">
        <v>1</v>
      </c>
      <c r="D19" s="2" t="s">
        <v>3</v>
      </c>
      <c r="E19" s="2" t="s">
        <v>4</v>
      </c>
      <c r="F19" s="2" t="s">
        <v>4</v>
      </c>
      <c r="G19" s="6">
        <f>-C2*12*10</f>
        <v>-1080</v>
      </c>
    </row>
    <row r="20" spans="2:8" x14ac:dyDescent="0.3">
      <c r="B20" s="3">
        <v>46107</v>
      </c>
      <c r="C20" s="2" t="s">
        <v>0</v>
      </c>
      <c r="D20" s="2" t="s">
        <v>4</v>
      </c>
      <c r="E20" s="2" t="s">
        <v>3</v>
      </c>
      <c r="F20" s="2" t="s">
        <v>4</v>
      </c>
      <c r="G20" s="4">
        <f>C2*0.5*10</f>
        <v>45</v>
      </c>
    </row>
    <row r="21" spans="2:8" x14ac:dyDescent="0.3">
      <c r="B21" s="3">
        <v>46108</v>
      </c>
      <c r="C21" s="2" t="s">
        <v>0</v>
      </c>
      <c r="D21" s="2" t="s">
        <v>4</v>
      </c>
      <c r="E21" s="2" t="s">
        <v>3</v>
      </c>
      <c r="F21" s="2" t="s">
        <v>4</v>
      </c>
      <c r="G21" s="4">
        <f>C2*0.5*10</f>
        <v>45</v>
      </c>
    </row>
    <row r="22" spans="2:8" x14ac:dyDescent="0.3">
      <c r="B22" s="3">
        <v>46111</v>
      </c>
      <c r="C22" s="2" t="s">
        <v>1</v>
      </c>
      <c r="D22" s="2" t="s">
        <v>3</v>
      </c>
      <c r="E22" s="2" t="s">
        <v>4</v>
      </c>
      <c r="F22" s="2" t="s">
        <v>4</v>
      </c>
      <c r="G22" s="6">
        <f>-C2*12*10</f>
        <v>-1080</v>
      </c>
    </row>
    <row r="23" spans="2:8" x14ac:dyDescent="0.3">
      <c r="B23" s="3">
        <v>46112</v>
      </c>
      <c r="C23" s="2" t="s">
        <v>1</v>
      </c>
      <c r="D23" s="2" t="s">
        <v>4</v>
      </c>
      <c r="E23" s="2" t="s">
        <v>3</v>
      </c>
      <c r="F23" s="2" t="s">
        <v>4</v>
      </c>
      <c r="G23" s="4">
        <f>C2*0.5*10</f>
        <v>45</v>
      </c>
    </row>
    <row r="24" spans="2:8" x14ac:dyDescent="0.3">
      <c r="B24" s="3"/>
      <c r="C24" s="2"/>
      <c r="D24" s="2"/>
      <c r="E24" s="2"/>
      <c r="F24" s="2"/>
      <c r="G24" s="4"/>
    </row>
    <row r="25" spans="2:8" x14ac:dyDescent="0.3">
      <c r="B25" s="3"/>
      <c r="C25" s="2"/>
      <c r="D25" s="2"/>
      <c r="E25" s="2"/>
      <c r="F25" s="2"/>
      <c r="G25" s="28">
        <f>SUM(G5:G24)</f>
        <v>-1530</v>
      </c>
    </row>
    <row r="26" spans="2:8" x14ac:dyDescent="0.3">
      <c r="B26" s="3"/>
      <c r="C26" s="2"/>
      <c r="D26" s="2"/>
      <c r="E26" s="2"/>
      <c r="F26" s="2"/>
      <c r="G26" s="4"/>
    </row>
    <row r="27" spans="2:8" x14ac:dyDescent="0.3">
      <c r="B27" s="1"/>
      <c r="D27" s="21" t="s">
        <v>2</v>
      </c>
      <c r="E27" s="21" t="s">
        <v>13</v>
      </c>
      <c r="F27" s="21" t="s">
        <v>11</v>
      </c>
      <c r="G27" s="5"/>
    </row>
    <row r="28" spans="2:8" x14ac:dyDescent="0.3">
      <c r="B28" s="1">
        <v>46113</v>
      </c>
      <c r="C28" s="2" t="s">
        <v>1</v>
      </c>
      <c r="D28" s="2" t="s">
        <v>3</v>
      </c>
      <c r="E28" s="2" t="s">
        <v>4</v>
      </c>
      <c r="F28" s="2" t="s">
        <v>4</v>
      </c>
      <c r="G28" s="6">
        <f>-C2*12*10</f>
        <v>-1080</v>
      </c>
      <c r="H28" s="2"/>
    </row>
    <row r="29" spans="2:8" x14ac:dyDescent="0.3">
      <c r="B29" s="1">
        <v>46114</v>
      </c>
      <c r="C29" s="2" t="s">
        <v>0</v>
      </c>
      <c r="D29" s="2" t="s">
        <v>3</v>
      </c>
      <c r="E29" s="2" t="s">
        <v>4</v>
      </c>
      <c r="F29" s="2" t="s">
        <v>4</v>
      </c>
      <c r="G29" s="6">
        <f>-C2*12*10</f>
        <v>-1080</v>
      </c>
      <c r="H29" s="2"/>
    </row>
    <row r="30" spans="2:8" x14ac:dyDescent="0.3">
      <c r="B30" s="1">
        <v>46118</v>
      </c>
      <c r="C30" s="2" t="s">
        <v>1</v>
      </c>
      <c r="D30" s="2" t="s">
        <v>3</v>
      </c>
      <c r="E30" s="2" t="s">
        <v>4</v>
      </c>
      <c r="F30" s="2" t="s">
        <v>4</v>
      </c>
      <c r="G30" s="6">
        <f>-C2*12*10</f>
        <v>-1080</v>
      </c>
      <c r="H30" s="2"/>
    </row>
    <row r="31" spans="2:8" x14ac:dyDescent="0.3">
      <c r="B31" s="1">
        <v>46119</v>
      </c>
      <c r="C31" s="2" t="s">
        <v>1</v>
      </c>
      <c r="D31" s="2" t="s">
        <v>3</v>
      </c>
      <c r="E31" s="2" t="s">
        <v>4</v>
      </c>
      <c r="F31" s="2" t="s">
        <v>4</v>
      </c>
      <c r="G31" s="6">
        <f>-C2*12*10</f>
        <v>-1080</v>
      </c>
      <c r="H31" s="2"/>
    </row>
    <row r="32" spans="2:8" x14ac:dyDescent="0.3">
      <c r="B32" s="1">
        <v>46120</v>
      </c>
      <c r="C32" s="2" t="s">
        <v>1</v>
      </c>
      <c r="D32" s="2" t="s">
        <v>4</v>
      </c>
      <c r="E32" s="2" t="s">
        <v>3</v>
      </c>
      <c r="F32" s="2" t="s">
        <v>3</v>
      </c>
      <c r="G32" s="4">
        <f>C2*22*10</f>
        <v>1980</v>
      </c>
      <c r="H32" s="2"/>
    </row>
    <row r="33" spans="2:11" x14ac:dyDescent="0.3">
      <c r="B33" s="1">
        <v>46122</v>
      </c>
      <c r="C33" s="2" t="s">
        <v>1</v>
      </c>
      <c r="D33" s="2" t="s">
        <v>4</v>
      </c>
      <c r="E33" s="2" t="s">
        <v>3</v>
      </c>
      <c r="F33" s="2" t="s">
        <v>3</v>
      </c>
      <c r="G33" s="4">
        <f>C2*22*10</f>
        <v>1980</v>
      </c>
      <c r="H33" s="2"/>
    </row>
    <row r="34" spans="2:11" x14ac:dyDescent="0.3">
      <c r="B34" s="1">
        <v>46125</v>
      </c>
      <c r="C34" s="2" t="s">
        <v>0</v>
      </c>
      <c r="D34" s="2" t="s">
        <v>4</v>
      </c>
      <c r="E34" s="2" t="s">
        <v>3</v>
      </c>
      <c r="F34" s="2" t="s">
        <v>4</v>
      </c>
      <c r="G34" s="4">
        <f>C2*0.5*10</f>
        <v>45</v>
      </c>
      <c r="H34" s="2"/>
    </row>
    <row r="35" spans="2:11" x14ac:dyDescent="0.3">
      <c r="B35" s="1">
        <v>46126</v>
      </c>
      <c r="C35" s="2" t="s">
        <v>1</v>
      </c>
      <c r="D35" s="2" t="s">
        <v>3</v>
      </c>
      <c r="E35" s="2" t="s">
        <v>4</v>
      </c>
      <c r="F35" s="2" t="s">
        <v>4</v>
      </c>
      <c r="G35" s="6">
        <f>-C2*12*10</f>
        <v>-1080</v>
      </c>
      <c r="H35" s="2"/>
    </row>
    <row r="36" spans="2:11" x14ac:dyDescent="0.3">
      <c r="B36" s="1">
        <v>46129</v>
      </c>
      <c r="C36" s="2" t="s">
        <v>1</v>
      </c>
      <c r="D36" s="2" t="s">
        <v>4</v>
      </c>
      <c r="E36" s="2" t="s">
        <v>3</v>
      </c>
      <c r="F36" s="2" t="s">
        <v>3</v>
      </c>
      <c r="G36" s="4">
        <f>C2*22*10</f>
        <v>1980</v>
      </c>
      <c r="H36" s="2"/>
    </row>
    <row r="37" spans="2:11" x14ac:dyDescent="0.3">
      <c r="B37" s="1">
        <v>46132</v>
      </c>
      <c r="C37" s="2" t="s">
        <v>0</v>
      </c>
      <c r="D37" s="2" t="s">
        <v>4</v>
      </c>
      <c r="E37" s="2" t="s">
        <v>3</v>
      </c>
      <c r="F37" s="2" t="s">
        <v>4</v>
      </c>
      <c r="G37" s="4">
        <f>C2*0.5*10</f>
        <v>45</v>
      </c>
      <c r="H37" s="2"/>
    </row>
    <row r="38" spans="2:11" x14ac:dyDescent="0.3">
      <c r="B38" s="1">
        <v>46134</v>
      </c>
      <c r="C38" s="2" t="s">
        <v>1</v>
      </c>
      <c r="D38" s="2" t="s">
        <v>3</v>
      </c>
      <c r="E38" s="2" t="s">
        <v>4</v>
      </c>
      <c r="F38" s="2" t="s">
        <v>4</v>
      </c>
      <c r="G38" s="6">
        <f>-C2*12*10</f>
        <v>-1080</v>
      </c>
      <c r="H38" s="2"/>
    </row>
    <row r="39" spans="2:11" x14ac:dyDescent="0.3">
      <c r="B39" s="1">
        <v>46135</v>
      </c>
      <c r="C39" s="2" t="s">
        <v>0</v>
      </c>
      <c r="D39" s="2" t="s">
        <v>3</v>
      </c>
      <c r="E39" s="2" t="s">
        <v>4</v>
      </c>
      <c r="F39" s="2" t="s">
        <v>4</v>
      </c>
      <c r="G39" s="6">
        <f>-C2*12*10</f>
        <v>-1080</v>
      </c>
      <c r="H39" s="2"/>
    </row>
    <row r="40" spans="2:11" x14ac:dyDescent="0.3">
      <c r="B40" s="1">
        <v>46139</v>
      </c>
      <c r="C40" s="2" t="s">
        <v>1</v>
      </c>
      <c r="D40" s="2" t="s">
        <v>4</v>
      </c>
      <c r="E40" s="2" t="s">
        <v>3</v>
      </c>
      <c r="F40" s="2" t="s">
        <v>4</v>
      </c>
      <c r="G40" s="4">
        <f>C2*0.5*10</f>
        <v>45</v>
      </c>
      <c r="H40" s="2"/>
    </row>
    <row r="41" spans="2:11" x14ac:dyDescent="0.3">
      <c r="B41" s="1">
        <v>46140</v>
      </c>
      <c r="C41" s="2" t="s">
        <v>0</v>
      </c>
      <c r="D41" s="2" t="s">
        <v>4</v>
      </c>
      <c r="E41" s="2" t="s">
        <v>3</v>
      </c>
      <c r="F41" s="2" t="s">
        <v>4</v>
      </c>
      <c r="G41" s="4">
        <f>C2*0.5*10</f>
        <v>45</v>
      </c>
      <c r="H41" s="2"/>
    </row>
    <row r="42" spans="2:11" x14ac:dyDescent="0.3">
      <c r="B42" s="1">
        <v>46141</v>
      </c>
      <c r="C42" s="2" t="s">
        <v>1</v>
      </c>
      <c r="D42" s="2" t="s">
        <v>3</v>
      </c>
      <c r="E42" s="2" t="s">
        <v>4</v>
      </c>
      <c r="F42" s="2" t="s">
        <v>4</v>
      </c>
      <c r="G42" s="6">
        <f>-C2*12*10</f>
        <v>-1080</v>
      </c>
      <c r="H42" s="2"/>
    </row>
    <row r="43" spans="2:11" x14ac:dyDescent="0.3">
      <c r="B43" s="1"/>
      <c r="D43" s="2"/>
      <c r="E43" s="2"/>
      <c r="F43" s="2"/>
      <c r="G43" s="4"/>
      <c r="H43" s="2"/>
    </row>
    <row r="44" spans="2:11" x14ac:dyDescent="0.3">
      <c r="B44" s="1"/>
      <c r="D44" s="2"/>
      <c r="E44" s="2"/>
      <c r="F44" s="2"/>
      <c r="G44" s="6">
        <f>SUM(G28:G43)</f>
        <v>-2520</v>
      </c>
      <c r="H44" s="2"/>
    </row>
    <row r="45" spans="2:11" x14ac:dyDescent="0.3">
      <c r="B45" s="1"/>
      <c r="D45" s="2"/>
      <c r="E45" s="2"/>
      <c r="F45" s="2"/>
      <c r="G45" s="4"/>
      <c r="H45" s="2"/>
    </row>
    <row r="46" spans="2:11" x14ac:dyDescent="0.3">
      <c r="B46" s="1"/>
      <c r="D46" s="21" t="s">
        <v>2</v>
      </c>
      <c r="E46" s="21" t="s">
        <v>13</v>
      </c>
      <c r="F46" s="21" t="s">
        <v>11</v>
      </c>
      <c r="G46" s="4"/>
      <c r="H46" s="2"/>
    </row>
    <row r="47" spans="2:11" x14ac:dyDescent="0.3">
      <c r="B47" s="1">
        <v>46146</v>
      </c>
      <c r="C47" s="21" t="s">
        <v>1</v>
      </c>
      <c r="D47" s="2" t="s">
        <v>4</v>
      </c>
      <c r="E47" s="2" t="s">
        <v>3</v>
      </c>
      <c r="F47" s="2" t="s">
        <v>4</v>
      </c>
      <c r="G47" s="4">
        <f>C2*0.5*10</f>
        <v>45</v>
      </c>
      <c r="H47" s="2"/>
      <c r="I47" s="2"/>
      <c r="J47" s="2"/>
      <c r="K47" s="2"/>
    </row>
    <row r="48" spans="2:11" x14ac:dyDescent="0.3">
      <c r="B48" s="1">
        <v>46147</v>
      </c>
      <c r="C48" s="21" t="s">
        <v>1</v>
      </c>
      <c r="D48" s="2" t="s">
        <v>4</v>
      </c>
      <c r="E48" s="2" t="s">
        <v>3</v>
      </c>
      <c r="F48" s="2" t="s">
        <v>16</v>
      </c>
      <c r="G48" s="4">
        <f>C2*22*10</f>
        <v>1980</v>
      </c>
      <c r="H48" s="2"/>
      <c r="I48" s="2"/>
      <c r="J48" s="2"/>
      <c r="K48" s="2"/>
    </row>
    <row r="49" spans="2:11" x14ac:dyDescent="0.3">
      <c r="B49" s="1">
        <v>46148</v>
      </c>
      <c r="C49" s="21" t="s">
        <v>1</v>
      </c>
      <c r="D49" s="2" t="s">
        <v>3</v>
      </c>
      <c r="E49" s="2" t="s">
        <v>4</v>
      </c>
      <c r="F49" s="2" t="s">
        <v>4</v>
      </c>
      <c r="G49" s="6">
        <f>-C2*12*10</f>
        <v>-1080</v>
      </c>
      <c r="H49" s="2"/>
      <c r="I49" s="2"/>
      <c r="J49" s="2"/>
      <c r="K49" s="2"/>
    </row>
    <row r="50" spans="2:11" x14ac:dyDescent="0.3">
      <c r="B50" s="1">
        <v>46149</v>
      </c>
      <c r="C50" s="21" t="s">
        <v>15</v>
      </c>
      <c r="D50" s="2"/>
      <c r="E50" s="2"/>
      <c r="F50" s="2"/>
      <c r="G50" s="4"/>
      <c r="H50" s="2"/>
      <c r="I50" s="2"/>
      <c r="J50" s="2"/>
      <c r="K50" s="2"/>
    </row>
    <row r="51" spans="2:11" x14ac:dyDescent="0.3">
      <c r="B51" s="1">
        <v>46150</v>
      </c>
      <c r="C51" s="21" t="s">
        <v>1</v>
      </c>
      <c r="D51" s="2" t="s">
        <v>4</v>
      </c>
      <c r="E51" s="2" t="s">
        <v>3</v>
      </c>
      <c r="F51" s="2" t="s">
        <v>3</v>
      </c>
      <c r="G51" s="4">
        <f>C2*22*10</f>
        <v>1980</v>
      </c>
      <c r="H51" s="2"/>
      <c r="I51" s="2"/>
      <c r="J51" s="2"/>
      <c r="K51" s="2"/>
    </row>
    <row r="52" spans="2:11" x14ac:dyDescent="0.3">
      <c r="B52" s="1">
        <v>46153</v>
      </c>
      <c r="C52" s="21" t="s">
        <v>1</v>
      </c>
      <c r="D52" s="2" t="s">
        <v>4</v>
      </c>
      <c r="E52" s="2" t="s">
        <v>3</v>
      </c>
      <c r="F52" s="2" t="s">
        <v>4</v>
      </c>
      <c r="G52" s="4">
        <f>C2*0.5*10</f>
        <v>45</v>
      </c>
      <c r="H52" s="2"/>
      <c r="I52" s="2"/>
      <c r="J52" s="2"/>
      <c r="K52" s="2"/>
    </row>
    <row r="53" spans="2:11" x14ac:dyDescent="0.3">
      <c r="B53" s="1">
        <v>46154</v>
      </c>
      <c r="C53" s="21" t="s">
        <v>0</v>
      </c>
      <c r="D53" s="2" t="s">
        <v>3</v>
      </c>
      <c r="E53" s="2" t="s">
        <v>4</v>
      </c>
      <c r="F53" s="2" t="s">
        <v>4</v>
      </c>
      <c r="G53" s="6">
        <f>-C2*12*10</f>
        <v>-1080</v>
      </c>
      <c r="H53" s="2"/>
      <c r="I53" s="2"/>
      <c r="J53" s="2"/>
      <c r="K53" s="2"/>
    </row>
    <row r="54" spans="2:11" x14ac:dyDescent="0.3">
      <c r="B54" s="1">
        <v>46155</v>
      </c>
      <c r="C54" s="21" t="s">
        <v>1</v>
      </c>
      <c r="D54" s="2" t="s">
        <v>3</v>
      </c>
      <c r="E54" s="2" t="s">
        <v>4</v>
      </c>
      <c r="F54" s="2" t="s">
        <v>4</v>
      </c>
      <c r="G54" s="6">
        <f>-C2*12*10</f>
        <v>-1080</v>
      </c>
      <c r="H54" s="2"/>
      <c r="I54" s="2"/>
      <c r="J54" s="2"/>
      <c r="K54" s="2"/>
    </row>
    <row r="55" spans="2:11" x14ac:dyDescent="0.3">
      <c r="B55" s="1">
        <v>46156</v>
      </c>
      <c r="C55" s="21" t="s">
        <v>15</v>
      </c>
      <c r="D55" s="2"/>
      <c r="E55" s="2"/>
      <c r="F55" s="2"/>
      <c r="G55" s="4"/>
      <c r="H55" s="2"/>
      <c r="I55" s="2"/>
      <c r="J55" s="2"/>
      <c r="K55" s="2"/>
    </row>
    <row r="56" spans="2:11" x14ac:dyDescent="0.3">
      <c r="B56" s="1">
        <v>46157</v>
      </c>
      <c r="C56" s="21" t="s">
        <v>0</v>
      </c>
      <c r="D56" s="2" t="s">
        <v>4</v>
      </c>
      <c r="E56" s="2" t="s">
        <v>3</v>
      </c>
      <c r="F56" s="2" t="s">
        <v>3</v>
      </c>
      <c r="G56" s="4">
        <f>C2*22*10</f>
        <v>1980</v>
      </c>
      <c r="H56" s="2"/>
      <c r="I56" s="2"/>
      <c r="J56" s="2"/>
      <c r="K56" s="2"/>
    </row>
    <row r="57" spans="2:11" x14ac:dyDescent="0.3">
      <c r="B57" s="1">
        <v>46160</v>
      </c>
      <c r="C57" s="21" t="s">
        <v>1</v>
      </c>
      <c r="D57" s="2" t="s">
        <v>4</v>
      </c>
      <c r="E57" s="2" t="s">
        <v>3</v>
      </c>
      <c r="F57" s="2" t="s">
        <v>3</v>
      </c>
      <c r="G57" s="4">
        <f>C2*22*10</f>
        <v>1980</v>
      </c>
      <c r="H57" s="2"/>
      <c r="I57" s="2"/>
      <c r="J57" s="2"/>
      <c r="K57" s="2"/>
    </row>
    <row r="58" spans="2:11" x14ac:dyDescent="0.3">
      <c r="B58" s="1">
        <v>46161</v>
      </c>
      <c r="C58" s="21" t="s">
        <v>0</v>
      </c>
      <c r="D58" s="2" t="s">
        <v>3</v>
      </c>
      <c r="E58" s="2" t="s">
        <v>4</v>
      </c>
      <c r="F58" s="2" t="s">
        <v>3</v>
      </c>
      <c r="G58" s="6">
        <f>-C2*12*10</f>
        <v>-1080</v>
      </c>
      <c r="H58" s="2"/>
      <c r="I58" s="2"/>
      <c r="J58" s="2"/>
      <c r="K58" s="2"/>
    </row>
    <row r="59" spans="2:11" x14ac:dyDescent="0.3">
      <c r="B59" s="1">
        <v>46162</v>
      </c>
      <c r="C59" s="21" t="s">
        <v>1</v>
      </c>
      <c r="D59" s="2" t="s">
        <v>3</v>
      </c>
      <c r="E59" s="2" t="s">
        <v>4</v>
      </c>
      <c r="F59" s="2" t="s">
        <v>4</v>
      </c>
      <c r="G59" s="6">
        <f>-C2*12*10</f>
        <v>-1080</v>
      </c>
      <c r="H59" s="2"/>
      <c r="I59" s="2"/>
      <c r="J59" s="2"/>
      <c r="K59" s="2"/>
    </row>
    <row r="60" spans="2:11" x14ac:dyDescent="0.3">
      <c r="B60" s="1">
        <v>46163</v>
      </c>
      <c r="C60" s="21" t="s">
        <v>0</v>
      </c>
      <c r="D60" s="2" t="s">
        <v>3</v>
      </c>
      <c r="E60" s="2" t="s">
        <v>4</v>
      </c>
      <c r="F60" s="2" t="s">
        <v>4</v>
      </c>
      <c r="G60" s="6">
        <f>-C2*12*10</f>
        <v>-1080</v>
      </c>
      <c r="H60" s="2"/>
      <c r="I60" s="2"/>
      <c r="J60" s="2"/>
      <c r="K60" s="2"/>
    </row>
    <row r="61" spans="2:11" x14ac:dyDescent="0.3">
      <c r="B61" s="1">
        <v>46164</v>
      </c>
      <c r="C61" s="21" t="s">
        <v>1</v>
      </c>
      <c r="D61" s="2" t="s">
        <v>4</v>
      </c>
      <c r="E61" s="2" t="s">
        <v>3</v>
      </c>
      <c r="F61" s="2" t="s">
        <v>4</v>
      </c>
      <c r="G61" s="4">
        <f>C2*0.5*10</f>
        <v>45</v>
      </c>
      <c r="H61" s="2"/>
      <c r="I61" s="2"/>
      <c r="J61" s="2"/>
      <c r="K61" s="2"/>
    </row>
    <row r="62" spans="2:11" x14ac:dyDescent="0.3">
      <c r="B62" s="1">
        <v>46167</v>
      </c>
      <c r="C62" s="21" t="s">
        <v>1</v>
      </c>
      <c r="D62" s="2" t="s">
        <v>4</v>
      </c>
      <c r="E62" s="2" t="s">
        <v>3</v>
      </c>
      <c r="F62" s="2" t="s">
        <v>3</v>
      </c>
      <c r="G62" s="4">
        <f>C2*22*10</f>
        <v>1980</v>
      </c>
      <c r="H62" s="2"/>
      <c r="I62" s="2"/>
      <c r="J62" s="2"/>
      <c r="K62" s="2"/>
    </row>
    <row r="63" spans="2:11" x14ac:dyDescent="0.3">
      <c r="B63" s="1">
        <v>46168</v>
      </c>
      <c r="C63" s="21" t="s">
        <v>0</v>
      </c>
      <c r="D63" s="2" t="s">
        <v>3</v>
      </c>
      <c r="E63" s="2" t="s">
        <v>4</v>
      </c>
      <c r="F63" s="2" t="s">
        <v>4</v>
      </c>
      <c r="G63" s="6">
        <f>-C2*12*10</f>
        <v>-1080</v>
      </c>
      <c r="H63" s="2"/>
      <c r="I63" s="2"/>
      <c r="J63" s="2"/>
      <c r="K63" s="2"/>
    </row>
    <row r="64" spans="2:11" x14ac:dyDescent="0.3">
      <c r="B64" s="1">
        <v>46169</v>
      </c>
      <c r="C64" s="21" t="s">
        <v>0</v>
      </c>
      <c r="D64" s="2" t="s">
        <v>4</v>
      </c>
      <c r="E64" s="2" t="s">
        <v>3</v>
      </c>
      <c r="F64" s="2" t="s">
        <v>4</v>
      </c>
      <c r="G64" s="4">
        <f>C2*0.5*10</f>
        <v>45</v>
      </c>
      <c r="H64" s="2"/>
      <c r="I64" s="2"/>
      <c r="J64" s="2"/>
      <c r="K64" s="2"/>
    </row>
    <row r="65" spans="1:12" x14ac:dyDescent="0.3">
      <c r="B65" s="1">
        <v>46170</v>
      </c>
      <c r="C65" s="21" t="s">
        <v>0</v>
      </c>
      <c r="D65" s="2" t="s">
        <v>3</v>
      </c>
      <c r="E65" s="2" t="s">
        <v>4</v>
      </c>
      <c r="F65" s="2" t="s">
        <v>4</v>
      </c>
      <c r="G65" s="6">
        <f>-C2*12*10</f>
        <v>-1080</v>
      </c>
      <c r="H65" s="2"/>
      <c r="I65" s="2"/>
      <c r="J65" s="2"/>
      <c r="K65" s="2"/>
    </row>
    <row r="66" spans="1:12" x14ac:dyDescent="0.3">
      <c r="B66" s="1">
        <v>46171</v>
      </c>
      <c r="C66" s="21" t="s">
        <v>0</v>
      </c>
      <c r="D66" s="2" t="s">
        <v>4</v>
      </c>
      <c r="E66" s="2" t="s">
        <v>3</v>
      </c>
      <c r="F66" s="2" t="s">
        <v>4</v>
      </c>
      <c r="G66" s="4">
        <f>C2*0.5*10</f>
        <v>45</v>
      </c>
      <c r="H66" s="2"/>
      <c r="I66" s="2"/>
      <c r="J66" s="2"/>
      <c r="K66" s="2"/>
    </row>
    <row r="67" spans="1:12" x14ac:dyDescent="0.3">
      <c r="B67" s="1"/>
      <c r="D67" s="2"/>
      <c r="E67" s="2"/>
      <c r="F67" s="2"/>
      <c r="G67" s="4"/>
      <c r="H67" s="2"/>
      <c r="I67" s="2"/>
      <c r="J67" s="2"/>
      <c r="K67" s="2"/>
    </row>
    <row r="68" spans="1:12" x14ac:dyDescent="0.3">
      <c r="B68" s="1"/>
      <c r="D68" s="2"/>
      <c r="E68" s="2"/>
      <c r="F68" s="2"/>
      <c r="G68" s="4">
        <f>SUM(G47:G67)</f>
        <v>1485</v>
      </c>
      <c r="H68" s="2"/>
      <c r="I68" s="2"/>
      <c r="J68" s="2"/>
      <c r="K68" s="2"/>
    </row>
    <row r="69" spans="1:12" x14ac:dyDescent="0.3">
      <c r="A69" s="2"/>
      <c r="B69" s="3"/>
      <c r="C69" s="2"/>
      <c r="D69" s="2"/>
      <c r="E69" s="2"/>
      <c r="F69" s="2"/>
      <c r="G69" s="4"/>
      <c r="H69" s="2"/>
      <c r="I69" s="2"/>
      <c r="J69" s="2"/>
      <c r="K69" s="2"/>
      <c r="L69" s="2"/>
    </row>
    <row r="70" spans="1:12" x14ac:dyDescent="0.3">
      <c r="A70" s="2"/>
      <c r="B70" s="3"/>
      <c r="C70" s="2"/>
      <c r="D70" s="21" t="s">
        <v>2</v>
      </c>
      <c r="E70" s="21" t="s">
        <v>13</v>
      </c>
      <c r="F70" s="21" t="s">
        <v>11</v>
      </c>
      <c r="G70" s="4"/>
      <c r="H70" s="2"/>
      <c r="I70" s="2"/>
      <c r="J70" s="2"/>
      <c r="K70" s="2"/>
      <c r="L70" s="2"/>
    </row>
    <row r="71" spans="1:12" x14ac:dyDescent="0.3">
      <c r="A71" s="2"/>
      <c r="B71" s="3">
        <v>46174</v>
      </c>
      <c r="C71" s="2" t="s">
        <v>1</v>
      </c>
      <c r="D71" s="2" t="s">
        <v>22</v>
      </c>
      <c r="E71" s="2"/>
      <c r="F71" s="2"/>
      <c r="G71" s="4"/>
      <c r="H71" s="2"/>
      <c r="I71" s="2"/>
      <c r="J71" s="2"/>
      <c r="K71" s="2"/>
      <c r="L71" s="2"/>
    </row>
    <row r="72" spans="1:12" x14ac:dyDescent="0.3">
      <c r="A72" s="2"/>
      <c r="B72" s="3">
        <v>46175</v>
      </c>
      <c r="C72" s="2" t="s">
        <v>1</v>
      </c>
      <c r="D72" s="2" t="s">
        <v>4</v>
      </c>
      <c r="E72" s="2" t="s">
        <v>3</v>
      </c>
      <c r="F72" s="2" t="s">
        <v>4</v>
      </c>
      <c r="G72" s="4">
        <f>C2*0.5*10</f>
        <v>45</v>
      </c>
      <c r="H72" s="2"/>
      <c r="I72" s="2"/>
      <c r="J72" s="2"/>
      <c r="K72" s="2"/>
      <c r="L72" s="2"/>
    </row>
    <row r="73" spans="1:12" x14ac:dyDescent="0.3">
      <c r="A73" s="2"/>
      <c r="B73" s="3">
        <v>46176</v>
      </c>
      <c r="C73" s="2" t="s">
        <v>0</v>
      </c>
      <c r="D73" s="2" t="s">
        <v>4</v>
      </c>
      <c r="E73" s="2" t="s">
        <v>3</v>
      </c>
      <c r="F73" s="2" t="s">
        <v>3</v>
      </c>
      <c r="G73" s="4">
        <f>C2*22*10</f>
        <v>1980</v>
      </c>
      <c r="H73" s="2"/>
      <c r="I73" s="2"/>
      <c r="J73" s="2"/>
      <c r="K73" s="2"/>
      <c r="L73" s="2"/>
    </row>
    <row r="74" spans="1:12" x14ac:dyDescent="0.3">
      <c r="A74" s="2"/>
      <c r="B74" s="3">
        <v>46178</v>
      </c>
      <c r="C74" s="2" t="s">
        <v>0</v>
      </c>
      <c r="D74" s="2" t="s">
        <v>4</v>
      </c>
      <c r="E74" s="2" t="s">
        <v>3</v>
      </c>
      <c r="F74" s="2" t="s">
        <v>3</v>
      </c>
      <c r="G74" s="4">
        <f>C2*22*10</f>
        <v>1980</v>
      </c>
      <c r="H74" s="2"/>
      <c r="I74" s="2"/>
      <c r="J74" s="2"/>
      <c r="K74" s="2"/>
      <c r="L74" s="2"/>
    </row>
    <row r="75" spans="1:12" x14ac:dyDescent="0.3">
      <c r="A75" s="2"/>
      <c r="B75" s="3">
        <v>46181</v>
      </c>
      <c r="C75" s="2" t="s">
        <v>1</v>
      </c>
      <c r="D75" s="2" t="s">
        <v>4</v>
      </c>
      <c r="E75" s="2" t="s">
        <v>3</v>
      </c>
      <c r="F75" s="2" t="s">
        <v>4</v>
      </c>
      <c r="G75" s="4">
        <f>C2*0.5*10</f>
        <v>45</v>
      </c>
      <c r="H75" s="2"/>
      <c r="I75" s="2"/>
      <c r="J75" s="2"/>
      <c r="K75" s="2"/>
      <c r="L75" s="2"/>
    </row>
    <row r="76" spans="1:12" x14ac:dyDescent="0.3">
      <c r="A76" s="2"/>
      <c r="B76" s="2"/>
      <c r="C76" s="2"/>
      <c r="D76" s="2"/>
      <c r="E76" s="2"/>
      <c r="F76" s="2"/>
      <c r="G76" s="4"/>
      <c r="H76" s="2"/>
      <c r="I76" s="2"/>
      <c r="J76" s="2"/>
      <c r="K76" s="2"/>
      <c r="L76" s="2"/>
    </row>
    <row r="77" spans="1:12" x14ac:dyDescent="0.3">
      <c r="A77" s="2"/>
      <c r="B77" s="2"/>
      <c r="C77" s="2"/>
      <c r="D77" s="2"/>
      <c r="E77" s="2"/>
      <c r="F77" s="2"/>
      <c r="G77" s="4"/>
      <c r="H77" s="2"/>
      <c r="I77" s="2"/>
      <c r="J77" s="2"/>
      <c r="K77" s="2"/>
      <c r="L77" s="2"/>
    </row>
    <row r="78" spans="1:12" x14ac:dyDescent="0.3">
      <c r="A78" s="2"/>
      <c r="B78" s="2"/>
      <c r="C78" s="2"/>
      <c r="D78" s="2"/>
      <c r="E78" s="2"/>
      <c r="F78" s="2"/>
      <c r="G78" s="4"/>
      <c r="H78" s="2"/>
      <c r="I78" s="2"/>
      <c r="J78" s="2"/>
      <c r="K78" s="2"/>
      <c r="L78" s="2"/>
    </row>
    <row r="79" spans="1:12" x14ac:dyDescent="0.3">
      <c r="A79" s="2"/>
      <c r="B79" s="2"/>
      <c r="C79" s="2"/>
      <c r="D79" s="2"/>
      <c r="E79" s="2"/>
      <c r="F79" s="2"/>
      <c r="G79" s="4">
        <f>SUM(G72:G78)</f>
        <v>4050</v>
      </c>
      <c r="H79" s="2"/>
      <c r="I79" s="2"/>
      <c r="J79" s="2"/>
      <c r="K79" s="2"/>
      <c r="L79" s="2"/>
    </row>
    <row r="80" spans="1:12" x14ac:dyDescent="0.3">
      <c r="G80" s="5"/>
    </row>
    <row r="81" spans="7:7" x14ac:dyDescent="0.3">
      <c r="G81" s="5"/>
    </row>
    <row r="82" spans="7:7" x14ac:dyDescent="0.3">
      <c r="G82" s="5"/>
    </row>
    <row r="83" spans="7:7" x14ac:dyDescent="0.3">
      <c r="G83" s="5"/>
    </row>
    <row r="86" spans="7:7" x14ac:dyDescent="0.3">
      <c r="G86" s="5">
        <f>G25+G44+G68+G79</f>
        <v>1485</v>
      </c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36708-2838-410A-AB58-BEC1EDB29F16}">
  <dimension ref="A2:J115"/>
  <sheetViews>
    <sheetView workbookViewId="0">
      <selection activeCell="F13" sqref="F13"/>
    </sheetView>
  </sheetViews>
  <sheetFormatPr defaultRowHeight="14.4" x14ac:dyDescent="0.3"/>
  <cols>
    <col min="1" max="2" width="11.21875" bestFit="1" customWidth="1"/>
    <col min="3" max="3" width="9.44140625" bestFit="1" customWidth="1"/>
    <col min="4" max="4" width="11.33203125" bestFit="1" customWidth="1"/>
    <col min="6" max="6" width="11.5546875" bestFit="1" customWidth="1"/>
  </cols>
  <sheetData>
    <row r="2" spans="1:6" x14ac:dyDescent="0.3">
      <c r="D2" s="21" t="s">
        <v>2</v>
      </c>
      <c r="E2" s="21" t="s">
        <v>11</v>
      </c>
    </row>
    <row r="3" spans="1:6" x14ac:dyDescent="0.3">
      <c r="A3" s="2">
        <v>1</v>
      </c>
      <c r="B3" s="3">
        <v>46085</v>
      </c>
      <c r="C3" s="2" t="s">
        <v>0</v>
      </c>
      <c r="D3" s="2" t="s">
        <v>4</v>
      </c>
      <c r="E3" s="2" t="s">
        <v>3</v>
      </c>
      <c r="F3" s="4">
        <f>B108</f>
        <v>2205</v>
      </c>
    </row>
    <row r="4" spans="1:6" x14ac:dyDescent="0.3">
      <c r="A4" s="2">
        <v>2</v>
      </c>
      <c r="B4" s="3">
        <v>46086</v>
      </c>
      <c r="C4" s="2" t="s">
        <v>1</v>
      </c>
      <c r="D4" s="2" t="s">
        <v>4</v>
      </c>
      <c r="E4" s="2" t="s">
        <v>3</v>
      </c>
      <c r="F4" s="4">
        <f>B108</f>
        <v>2205</v>
      </c>
    </row>
    <row r="5" spans="1:6" x14ac:dyDescent="0.3">
      <c r="A5" s="2">
        <v>3</v>
      </c>
      <c r="B5" s="3">
        <v>46087</v>
      </c>
      <c r="C5" s="2" t="s">
        <v>0</v>
      </c>
      <c r="D5" s="2" t="s">
        <v>3</v>
      </c>
      <c r="E5" s="2" t="s">
        <v>4</v>
      </c>
      <c r="F5" s="6">
        <f>B109</f>
        <v>-2100</v>
      </c>
    </row>
    <row r="6" spans="1:6" x14ac:dyDescent="0.3">
      <c r="A6" s="2">
        <v>4</v>
      </c>
      <c r="B6" s="3">
        <v>46090</v>
      </c>
      <c r="C6" s="2" t="s">
        <v>0</v>
      </c>
      <c r="D6" s="2" t="s">
        <v>3</v>
      </c>
      <c r="E6" s="2" t="s">
        <v>4</v>
      </c>
      <c r="F6" s="6">
        <f>B109</f>
        <v>-2100</v>
      </c>
    </row>
    <row r="7" spans="1:6" x14ac:dyDescent="0.3">
      <c r="A7" s="2">
        <v>5</v>
      </c>
      <c r="B7" s="3">
        <v>46091</v>
      </c>
      <c r="C7" s="2" t="s">
        <v>1</v>
      </c>
      <c r="D7" s="2" t="s">
        <v>3</v>
      </c>
      <c r="E7" s="2" t="s">
        <v>4</v>
      </c>
      <c r="F7" s="6">
        <f>B109</f>
        <v>-2100</v>
      </c>
    </row>
    <row r="8" spans="1:6" x14ac:dyDescent="0.3">
      <c r="A8" s="2">
        <v>6</v>
      </c>
      <c r="B8" s="3">
        <v>46092</v>
      </c>
      <c r="C8" s="2" t="s">
        <v>0</v>
      </c>
      <c r="D8" s="2" t="s">
        <v>4</v>
      </c>
      <c r="E8" s="2" t="s">
        <v>3</v>
      </c>
      <c r="F8" s="4">
        <f>B108</f>
        <v>2205</v>
      </c>
    </row>
    <row r="9" spans="1:6" x14ac:dyDescent="0.3">
      <c r="A9" s="2">
        <v>7</v>
      </c>
      <c r="B9" s="3">
        <v>46093</v>
      </c>
      <c r="C9" s="2" t="s">
        <v>1</v>
      </c>
      <c r="D9" s="2" t="s">
        <v>3</v>
      </c>
      <c r="E9" s="2" t="s">
        <v>4</v>
      </c>
      <c r="F9" s="6">
        <f>B109</f>
        <v>-2100</v>
      </c>
    </row>
    <row r="10" spans="1:6" x14ac:dyDescent="0.3">
      <c r="A10" s="2">
        <v>8</v>
      </c>
      <c r="B10" s="3">
        <v>46094</v>
      </c>
      <c r="C10" s="2" t="s">
        <v>0</v>
      </c>
      <c r="D10" s="2" t="s">
        <v>4</v>
      </c>
      <c r="E10" s="2" t="s">
        <v>3</v>
      </c>
      <c r="F10" s="4">
        <f>B108</f>
        <v>2205</v>
      </c>
    </row>
    <row r="11" spans="1:6" x14ac:dyDescent="0.3">
      <c r="A11" s="2">
        <v>9</v>
      </c>
      <c r="B11" s="3">
        <v>46097</v>
      </c>
      <c r="C11" s="2" t="s">
        <v>0</v>
      </c>
      <c r="D11" s="2" t="s">
        <v>4</v>
      </c>
      <c r="E11" s="2" t="s">
        <v>3</v>
      </c>
      <c r="F11" s="4">
        <f>B108</f>
        <v>2205</v>
      </c>
    </row>
    <row r="12" spans="1:6" x14ac:dyDescent="0.3">
      <c r="A12" s="2">
        <v>10</v>
      </c>
      <c r="B12" s="3">
        <v>46099</v>
      </c>
      <c r="C12" s="2" t="s">
        <v>1</v>
      </c>
      <c r="D12" s="2" t="s">
        <v>3</v>
      </c>
      <c r="E12" s="2" t="s">
        <v>4</v>
      </c>
      <c r="F12" s="6">
        <f>B109</f>
        <v>-2100</v>
      </c>
    </row>
    <row r="13" spans="1:6" x14ac:dyDescent="0.3">
      <c r="A13" s="2">
        <v>11</v>
      </c>
      <c r="B13" s="3">
        <v>46100</v>
      </c>
      <c r="C13" s="2" t="s">
        <v>1</v>
      </c>
      <c r="D13" s="2" t="s">
        <v>3</v>
      </c>
      <c r="E13" s="2" t="s">
        <v>4</v>
      </c>
      <c r="F13" s="6">
        <f>B109</f>
        <v>-2100</v>
      </c>
    </row>
    <row r="14" spans="1:6" x14ac:dyDescent="0.3">
      <c r="A14" s="2">
        <v>12</v>
      </c>
      <c r="B14" s="3">
        <v>46101</v>
      </c>
      <c r="C14" s="2" t="s">
        <v>0</v>
      </c>
      <c r="D14" s="2" t="s">
        <v>4</v>
      </c>
      <c r="E14" s="2" t="s">
        <v>3</v>
      </c>
      <c r="F14" s="4">
        <f>B108</f>
        <v>2205</v>
      </c>
    </row>
    <row r="15" spans="1:6" x14ac:dyDescent="0.3">
      <c r="A15" s="2">
        <v>13</v>
      </c>
      <c r="B15" s="3">
        <v>46104</v>
      </c>
      <c r="C15" s="2" t="s">
        <v>1</v>
      </c>
      <c r="D15" s="2" t="s">
        <v>4</v>
      </c>
      <c r="E15" s="2" t="s">
        <v>3</v>
      </c>
      <c r="F15" s="4">
        <f>B108</f>
        <v>2205</v>
      </c>
    </row>
    <row r="16" spans="1:6" x14ac:dyDescent="0.3">
      <c r="A16" s="2">
        <v>14</v>
      </c>
      <c r="B16" s="3">
        <v>46105</v>
      </c>
      <c r="C16" s="2" t="s">
        <v>1</v>
      </c>
      <c r="D16" s="2" t="s">
        <v>3</v>
      </c>
      <c r="E16" s="2" t="s">
        <v>4</v>
      </c>
      <c r="F16" s="6">
        <f>B109</f>
        <v>-2100</v>
      </c>
    </row>
    <row r="17" spans="1:6" x14ac:dyDescent="0.3">
      <c r="A17" s="2">
        <v>15</v>
      </c>
      <c r="B17" s="3">
        <v>46106</v>
      </c>
      <c r="C17" s="2" t="s">
        <v>1</v>
      </c>
      <c r="D17" s="2" t="s">
        <v>3</v>
      </c>
      <c r="E17" s="2" t="s">
        <v>4</v>
      </c>
      <c r="F17" s="6">
        <f>B109</f>
        <v>-2100</v>
      </c>
    </row>
    <row r="18" spans="1:6" x14ac:dyDescent="0.3">
      <c r="A18" s="2">
        <v>16</v>
      </c>
      <c r="B18" s="3">
        <v>46107</v>
      </c>
      <c r="C18" s="2" t="s">
        <v>0</v>
      </c>
      <c r="D18" s="2" t="s">
        <v>4</v>
      </c>
      <c r="E18" s="2" t="s">
        <v>3</v>
      </c>
      <c r="F18" s="4">
        <f>B108</f>
        <v>2205</v>
      </c>
    </row>
    <row r="19" spans="1:6" x14ac:dyDescent="0.3">
      <c r="A19" s="2">
        <v>17</v>
      </c>
      <c r="B19" s="3">
        <v>46108</v>
      </c>
      <c r="C19" s="2" t="s">
        <v>1</v>
      </c>
      <c r="D19" s="2" t="s">
        <v>4</v>
      </c>
      <c r="E19" s="2" t="s">
        <v>3</v>
      </c>
      <c r="F19" s="4">
        <f>B108</f>
        <v>2205</v>
      </c>
    </row>
    <row r="20" spans="1:6" x14ac:dyDescent="0.3">
      <c r="A20" s="2">
        <v>18</v>
      </c>
      <c r="B20" s="3">
        <v>46111</v>
      </c>
      <c r="C20" s="2" t="s">
        <v>1</v>
      </c>
      <c r="D20" s="2" t="s">
        <v>4</v>
      </c>
      <c r="E20" s="2" t="s">
        <v>3</v>
      </c>
      <c r="F20" s="4">
        <f>B108</f>
        <v>2205</v>
      </c>
    </row>
    <row r="21" spans="1:6" x14ac:dyDescent="0.3">
      <c r="A21" s="2">
        <v>19</v>
      </c>
      <c r="B21" s="3">
        <v>46112</v>
      </c>
      <c r="C21" s="2" t="s">
        <v>1</v>
      </c>
      <c r="D21" s="2" t="s">
        <v>4</v>
      </c>
      <c r="E21" s="2" t="s">
        <v>3</v>
      </c>
      <c r="F21" s="4">
        <f>B108</f>
        <v>2205</v>
      </c>
    </row>
    <row r="22" spans="1:6" x14ac:dyDescent="0.3">
      <c r="B22" s="2"/>
      <c r="C22" s="2"/>
      <c r="D22" s="2"/>
      <c r="E22" s="2"/>
      <c r="F22" s="4"/>
    </row>
    <row r="23" spans="1:6" x14ac:dyDescent="0.3">
      <c r="B23" s="2"/>
      <c r="C23" s="2"/>
      <c r="D23" s="2"/>
      <c r="E23" s="2"/>
      <c r="F23" s="4">
        <f>SUM(F3:F22)</f>
        <v>7455</v>
      </c>
    </row>
    <row r="24" spans="1:6" x14ac:dyDescent="0.3">
      <c r="D24" s="21" t="s">
        <v>2</v>
      </c>
      <c r="E24" s="21" t="s">
        <v>11</v>
      </c>
      <c r="F24" s="5"/>
    </row>
    <row r="25" spans="1:6" x14ac:dyDescent="0.3">
      <c r="A25" s="2">
        <v>1</v>
      </c>
      <c r="B25" s="1">
        <v>46113</v>
      </c>
      <c r="C25" s="2" t="s">
        <v>0</v>
      </c>
      <c r="D25" s="2" t="s">
        <v>4</v>
      </c>
      <c r="E25" s="2" t="s">
        <v>3</v>
      </c>
      <c r="F25" s="4">
        <f>B108</f>
        <v>2205</v>
      </c>
    </row>
    <row r="26" spans="1:6" x14ac:dyDescent="0.3">
      <c r="A26" s="2">
        <v>2</v>
      </c>
      <c r="B26" s="1">
        <v>46114</v>
      </c>
      <c r="C26" s="2" t="s">
        <v>0</v>
      </c>
      <c r="D26" s="2" t="s">
        <v>3</v>
      </c>
      <c r="E26" s="2" t="s">
        <v>4</v>
      </c>
      <c r="F26" s="6">
        <f>B109</f>
        <v>-2100</v>
      </c>
    </row>
    <row r="27" spans="1:6" x14ac:dyDescent="0.3">
      <c r="A27" s="2">
        <v>3</v>
      </c>
      <c r="B27" s="1">
        <v>46118</v>
      </c>
      <c r="C27" s="2" t="s">
        <v>1</v>
      </c>
      <c r="D27" s="2" t="s">
        <v>4</v>
      </c>
      <c r="E27" s="2" t="s">
        <v>3</v>
      </c>
      <c r="F27" s="4">
        <f>B108</f>
        <v>2205</v>
      </c>
    </row>
    <row r="28" spans="1:6" x14ac:dyDescent="0.3">
      <c r="A28" s="2">
        <v>4</v>
      </c>
      <c r="B28" s="1">
        <v>46119</v>
      </c>
      <c r="C28" s="2" t="s">
        <v>1</v>
      </c>
      <c r="D28" s="2" t="s">
        <v>4</v>
      </c>
      <c r="E28" s="2" t="s">
        <v>3</v>
      </c>
      <c r="F28" s="4">
        <f>B108</f>
        <v>2205</v>
      </c>
    </row>
    <row r="29" spans="1:6" x14ac:dyDescent="0.3">
      <c r="A29" s="2">
        <v>5</v>
      </c>
      <c r="B29" s="1">
        <v>46120</v>
      </c>
      <c r="C29" s="2" t="s">
        <v>0</v>
      </c>
      <c r="D29" s="2" t="s">
        <v>4</v>
      </c>
      <c r="E29" s="2" t="s">
        <v>3</v>
      </c>
      <c r="F29" s="4">
        <f>B108</f>
        <v>2205</v>
      </c>
    </row>
    <row r="30" spans="1:6" x14ac:dyDescent="0.3">
      <c r="A30" s="2">
        <v>6</v>
      </c>
      <c r="B30" s="1">
        <v>46121</v>
      </c>
      <c r="C30" s="2" t="s">
        <v>1</v>
      </c>
      <c r="D30" s="2" t="s">
        <v>4</v>
      </c>
      <c r="E30" s="2" t="s">
        <v>3</v>
      </c>
      <c r="F30" s="4">
        <f>B108</f>
        <v>2205</v>
      </c>
    </row>
    <row r="31" spans="1:6" x14ac:dyDescent="0.3">
      <c r="A31" s="2">
        <v>7</v>
      </c>
      <c r="B31" s="1">
        <v>46122</v>
      </c>
      <c r="C31" s="2" t="s">
        <v>0</v>
      </c>
      <c r="D31" s="2" t="s">
        <v>3</v>
      </c>
      <c r="E31" s="2" t="s">
        <v>4</v>
      </c>
      <c r="F31" s="6">
        <f>B109</f>
        <v>-2100</v>
      </c>
    </row>
    <row r="32" spans="1:6" x14ac:dyDescent="0.3">
      <c r="A32" s="2">
        <v>8</v>
      </c>
      <c r="B32" s="1">
        <v>46125</v>
      </c>
      <c r="C32" s="2" t="s">
        <v>0</v>
      </c>
      <c r="D32" s="2" t="s">
        <v>3</v>
      </c>
      <c r="E32" s="2" t="s">
        <v>4</v>
      </c>
      <c r="F32" s="6">
        <f>B109</f>
        <v>-2100</v>
      </c>
    </row>
    <row r="33" spans="1:6" x14ac:dyDescent="0.3">
      <c r="A33" s="2">
        <v>9</v>
      </c>
      <c r="B33" s="1">
        <v>46126</v>
      </c>
      <c r="C33" s="2" t="s">
        <v>1</v>
      </c>
      <c r="D33" s="2" t="s">
        <v>4</v>
      </c>
      <c r="E33" s="2" t="s">
        <v>3</v>
      </c>
      <c r="F33" s="4">
        <f>B108</f>
        <v>2205</v>
      </c>
    </row>
    <row r="34" spans="1:6" x14ac:dyDescent="0.3">
      <c r="A34" s="2">
        <v>10</v>
      </c>
      <c r="B34" s="1">
        <v>46127</v>
      </c>
      <c r="C34" s="2" t="s">
        <v>1</v>
      </c>
      <c r="D34" s="2" t="s">
        <v>4</v>
      </c>
      <c r="E34" s="2" t="s">
        <v>3</v>
      </c>
      <c r="F34" s="4">
        <f>B108</f>
        <v>2205</v>
      </c>
    </row>
    <row r="35" spans="1:6" x14ac:dyDescent="0.3">
      <c r="A35" s="2">
        <v>11</v>
      </c>
      <c r="B35" s="1">
        <v>46128</v>
      </c>
      <c r="C35" s="2" t="s">
        <v>0</v>
      </c>
      <c r="D35" s="2" t="s">
        <v>4</v>
      </c>
      <c r="E35" s="2" t="s">
        <v>3</v>
      </c>
      <c r="F35" s="4">
        <f>B108</f>
        <v>2205</v>
      </c>
    </row>
    <row r="36" spans="1:6" x14ac:dyDescent="0.3">
      <c r="A36" s="2">
        <v>12</v>
      </c>
      <c r="B36" s="1">
        <v>46129</v>
      </c>
      <c r="C36" s="2" t="s">
        <v>0</v>
      </c>
      <c r="D36" s="2" t="s">
        <v>3</v>
      </c>
      <c r="E36" s="2" t="s">
        <v>4</v>
      </c>
      <c r="F36" s="6">
        <f>B109</f>
        <v>-2100</v>
      </c>
    </row>
    <row r="37" spans="1:6" x14ac:dyDescent="0.3">
      <c r="A37" s="2">
        <v>13</v>
      </c>
      <c r="B37" s="1">
        <v>46132</v>
      </c>
      <c r="C37" s="2" t="s">
        <v>1</v>
      </c>
      <c r="D37" s="2" t="s">
        <v>4</v>
      </c>
      <c r="E37" s="2" t="s">
        <v>3</v>
      </c>
      <c r="F37" s="4">
        <f>B108</f>
        <v>2205</v>
      </c>
    </row>
    <row r="38" spans="1:6" x14ac:dyDescent="0.3">
      <c r="A38" s="2">
        <v>14</v>
      </c>
      <c r="B38" s="1">
        <v>46134</v>
      </c>
      <c r="C38" s="2" t="s">
        <v>1</v>
      </c>
      <c r="D38" s="2" t="s">
        <v>4</v>
      </c>
      <c r="E38" s="2" t="s">
        <v>3</v>
      </c>
      <c r="F38" s="4">
        <f>B108</f>
        <v>2205</v>
      </c>
    </row>
    <row r="39" spans="1:6" x14ac:dyDescent="0.3">
      <c r="A39" s="2">
        <v>15</v>
      </c>
      <c r="B39" s="1">
        <v>46135</v>
      </c>
      <c r="C39" s="2" t="s">
        <v>0</v>
      </c>
      <c r="D39" s="2" t="s">
        <v>4</v>
      </c>
      <c r="E39" s="2" t="s">
        <v>3</v>
      </c>
      <c r="F39" s="4">
        <f>B108</f>
        <v>2205</v>
      </c>
    </row>
    <row r="40" spans="1:6" x14ac:dyDescent="0.3">
      <c r="A40" s="2">
        <v>16</v>
      </c>
      <c r="B40" s="1">
        <v>46136</v>
      </c>
      <c r="C40" s="2" t="s">
        <v>0</v>
      </c>
      <c r="D40" s="2" t="s">
        <v>4</v>
      </c>
      <c r="E40" s="2" t="s">
        <v>3</v>
      </c>
      <c r="F40" s="4">
        <f>B108</f>
        <v>2205</v>
      </c>
    </row>
    <row r="41" spans="1:6" x14ac:dyDescent="0.3">
      <c r="A41" s="2">
        <v>17</v>
      </c>
      <c r="B41" s="1">
        <v>46139</v>
      </c>
      <c r="C41" s="2" t="s">
        <v>0</v>
      </c>
      <c r="D41" s="2" t="s">
        <v>4</v>
      </c>
      <c r="E41" s="2" t="s">
        <v>3</v>
      </c>
      <c r="F41" s="4">
        <f>B108</f>
        <v>2205</v>
      </c>
    </row>
    <row r="42" spans="1:6" x14ac:dyDescent="0.3">
      <c r="A42" s="2">
        <v>18</v>
      </c>
      <c r="B42" s="1">
        <v>46140</v>
      </c>
      <c r="C42" s="2" t="s">
        <v>1</v>
      </c>
      <c r="D42" s="2" t="s">
        <v>4</v>
      </c>
      <c r="E42" s="2" t="s">
        <v>3</v>
      </c>
      <c r="F42" s="4">
        <f>B108</f>
        <v>2205</v>
      </c>
    </row>
    <row r="43" spans="1:6" x14ac:dyDescent="0.3">
      <c r="A43" s="2">
        <v>19</v>
      </c>
      <c r="B43" s="1">
        <v>46141</v>
      </c>
      <c r="C43" s="2" t="s">
        <v>1</v>
      </c>
      <c r="D43" s="2" t="s">
        <v>3</v>
      </c>
      <c r="E43" s="2" t="s">
        <v>4</v>
      </c>
      <c r="F43" s="6">
        <f>B109</f>
        <v>-2100</v>
      </c>
    </row>
    <row r="44" spans="1:6" x14ac:dyDescent="0.3">
      <c r="A44" s="2">
        <v>20</v>
      </c>
      <c r="B44" s="1">
        <v>46142</v>
      </c>
      <c r="C44" s="2" t="s">
        <v>0</v>
      </c>
      <c r="D44" s="2" t="s">
        <v>4</v>
      </c>
      <c r="E44" s="2" t="s">
        <v>3</v>
      </c>
      <c r="F44" s="4">
        <f>B108</f>
        <v>2205</v>
      </c>
    </row>
    <row r="46" spans="1:6" x14ac:dyDescent="0.3">
      <c r="F46" s="5">
        <f>SUM(F25:F45)</f>
        <v>22575</v>
      </c>
    </row>
    <row r="47" spans="1:6" x14ac:dyDescent="0.3">
      <c r="F47" s="5"/>
    </row>
    <row r="48" spans="1:6" x14ac:dyDescent="0.3">
      <c r="D48" s="21" t="s">
        <v>2</v>
      </c>
      <c r="E48" s="21" t="s">
        <v>11</v>
      </c>
    </row>
    <row r="49" spans="1:10" x14ac:dyDescent="0.3">
      <c r="A49" s="2">
        <v>1</v>
      </c>
      <c r="B49" s="1">
        <v>46146</v>
      </c>
      <c r="C49" s="2" t="s">
        <v>1</v>
      </c>
      <c r="D49" s="2" t="s">
        <v>4</v>
      </c>
      <c r="E49" s="2" t="s">
        <v>3</v>
      </c>
      <c r="F49" s="4">
        <f>B108</f>
        <v>2205</v>
      </c>
      <c r="G49" s="2"/>
      <c r="H49" s="2"/>
      <c r="I49" s="2"/>
      <c r="J49" s="2"/>
    </row>
    <row r="50" spans="1:10" x14ac:dyDescent="0.3">
      <c r="A50" s="2">
        <v>2</v>
      </c>
      <c r="B50" s="1">
        <v>46147</v>
      </c>
      <c r="C50" s="2" t="s">
        <v>1</v>
      </c>
      <c r="D50" s="2" t="s">
        <v>4</v>
      </c>
      <c r="E50" s="2" t="s">
        <v>3</v>
      </c>
      <c r="F50" s="4">
        <f>B108</f>
        <v>2205</v>
      </c>
      <c r="G50" s="2"/>
      <c r="H50" s="2"/>
      <c r="I50" s="2"/>
      <c r="J50" s="2"/>
    </row>
    <row r="51" spans="1:10" x14ac:dyDescent="0.3">
      <c r="A51" s="2">
        <v>3</v>
      </c>
      <c r="B51" s="1">
        <v>46148</v>
      </c>
      <c r="C51" s="2" t="s">
        <v>1</v>
      </c>
      <c r="D51" s="2" t="s">
        <v>4</v>
      </c>
      <c r="E51" s="2" t="s">
        <v>3</v>
      </c>
      <c r="F51" s="4">
        <f>B108</f>
        <v>2205</v>
      </c>
      <c r="G51" s="2"/>
      <c r="H51" s="2"/>
      <c r="I51" s="2"/>
      <c r="J51" s="2"/>
    </row>
    <row r="52" spans="1:10" x14ac:dyDescent="0.3">
      <c r="A52" s="2">
        <v>4</v>
      </c>
      <c r="B52" s="1">
        <v>46149</v>
      </c>
      <c r="C52" s="2" t="s">
        <v>1</v>
      </c>
      <c r="D52" s="2" t="s">
        <v>4</v>
      </c>
      <c r="E52" s="2" t="s">
        <v>3</v>
      </c>
      <c r="F52" s="4">
        <f>B108</f>
        <v>2205</v>
      </c>
      <c r="G52" s="2"/>
      <c r="H52" s="2"/>
      <c r="I52" s="2"/>
      <c r="J52" s="2"/>
    </row>
    <row r="53" spans="1:10" x14ac:dyDescent="0.3">
      <c r="A53" s="2">
        <v>5</v>
      </c>
      <c r="B53" s="1">
        <v>46150</v>
      </c>
      <c r="C53" s="2" t="s">
        <v>21</v>
      </c>
      <c r="D53" s="2" t="s">
        <v>3</v>
      </c>
      <c r="E53" s="2" t="s">
        <v>4</v>
      </c>
      <c r="F53" s="6">
        <f>B109</f>
        <v>-2100</v>
      </c>
      <c r="G53" s="2"/>
      <c r="H53" s="2"/>
      <c r="I53" s="2"/>
      <c r="J53" s="2"/>
    </row>
    <row r="54" spans="1:10" x14ac:dyDescent="0.3">
      <c r="A54" s="2">
        <v>6</v>
      </c>
      <c r="B54" s="1">
        <v>46153</v>
      </c>
      <c r="C54" s="2" t="s">
        <v>1</v>
      </c>
      <c r="D54" s="2" t="s">
        <v>4</v>
      </c>
      <c r="E54" s="2" t="s">
        <v>3</v>
      </c>
      <c r="F54" s="4">
        <f>B108</f>
        <v>2205</v>
      </c>
      <c r="G54" s="2"/>
      <c r="H54" s="2"/>
      <c r="I54" s="2"/>
      <c r="J54" s="2"/>
    </row>
    <row r="55" spans="1:10" x14ac:dyDescent="0.3">
      <c r="A55" s="2">
        <v>7</v>
      </c>
      <c r="B55" s="1">
        <v>46154</v>
      </c>
      <c r="C55" s="2" t="s">
        <v>1</v>
      </c>
      <c r="D55" s="2" t="s">
        <v>4</v>
      </c>
      <c r="E55" s="2" t="s">
        <v>3</v>
      </c>
      <c r="F55" s="4">
        <f>B108</f>
        <v>2205</v>
      </c>
      <c r="G55" s="2"/>
      <c r="H55" s="2"/>
      <c r="I55" s="2"/>
      <c r="J55" s="2"/>
    </row>
    <row r="56" spans="1:10" x14ac:dyDescent="0.3">
      <c r="A56" s="2">
        <v>8</v>
      </c>
      <c r="B56" s="1">
        <v>46155</v>
      </c>
      <c r="C56" s="2" t="s">
        <v>1</v>
      </c>
      <c r="D56" s="2" t="s">
        <v>3</v>
      </c>
      <c r="E56" s="2" t="s">
        <v>4</v>
      </c>
      <c r="F56" s="6">
        <f>B109</f>
        <v>-2100</v>
      </c>
      <c r="G56" s="2"/>
      <c r="H56" s="2"/>
      <c r="I56" s="2"/>
      <c r="J56" s="2"/>
    </row>
    <row r="57" spans="1:10" x14ac:dyDescent="0.3">
      <c r="A57" s="2">
        <v>9</v>
      </c>
      <c r="B57" s="1">
        <v>46156</v>
      </c>
      <c r="C57" s="2" t="s">
        <v>21</v>
      </c>
      <c r="D57" s="2" t="s">
        <v>3</v>
      </c>
      <c r="E57" s="2" t="s">
        <v>4</v>
      </c>
      <c r="F57" s="6">
        <f>B109</f>
        <v>-2100</v>
      </c>
      <c r="G57" s="2"/>
      <c r="H57" s="2"/>
      <c r="I57" s="2"/>
      <c r="J57" s="2"/>
    </row>
    <row r="58" spans="1:10" x14ac:dyDescent="0.3">
      <c r="A58" s="2">
        <v>10</v>
      </c>
      <c r="B58" s="1">
        <v>46157</v>
      </c>
      <c r="C58" s="2" t="s">
        <v>1</v>
      </c>
      <c r="D58" s="2" t="s">
        <v>3</v>
      </c>
      <c r="E58" s="2" t="s">
        <v>4</v>
      </c>
      <c r="F58" s="6">
        <f>B109</f>
        <v>-2100</v>
      </c>
      <c r="G58" s="2"/>
      <c r="H58" s="2"/>
      <c r="I58" s="2"/>
      <c r="J58" s="2"/>
    </row>
    <row r="59" spans="1:10" x14ac:dyDescent="0.3">
      <c r="A59" s="2">
        <v>11</v>
      </c>
      <c r="B59" s="1">
        <v>46160</v>
      </c>
      <c r="C59" s="2" t="s">
        <v>21</v>
      </c>
      <c r="D59" s="2" t="s">
        <v>3</v>
      </c>
      <c r="E59" s="2" t="s">
        <v>4</v>
      </c>
      <c r="F59" s="6">
        <f>B109</f>
        <v>-2100</v>
      </c>
      <c r="G59" s="2"/>
      <c r="H59" s="2"/>
      <c r="I59" s="2"/>
      <c r="J59" s="2"/>
    </row>
    <row r="60" spans="1:10" x14ac:dyDescent="0.3">
      <c r="A60" s="2">
        <v>12</v>
      </c>
      <c r="B60" s="1">
        <v>46161</v>
      </c>
      <c r="C60" s="2" t="s">
        <v>1</v>
      </c>
      <c r="D60" s="2" t="s">
        <v>4</v>
      </c>
      <c r="E60" s="2" t="s">
        <v>3</v>
      </c>
      <c r="F60" s="4">
        <f>B108</f>
        <v>2205</v>
      </c>
      <c r="G60" s="2"/>
      <c r="H60" s="2"/>
      <c r="I60" s="2"/>
      <c r="J60" s="2"/>
    </row>
    <row r="61" spans="1:10" x14ac:dyDescent="0.3">
      <c r="A61" s="2">
        <v>13</v>
      </c>
      <c r="B61" s="1">
        <v>46162</v>
      </c>
      <c r="C61" s="2" t="s">
        <v>21</v>
      </c>
      <c r="D61" s="2" t="s">
        <v>4</v>
      </c>
      <c r="E61" s="2" t="s">
        <v>3</v>
      </c>
      <c r="F61" s="4">
        <f>B108</f>
        <v>2205</v>
      </c>
      <c r="G61" s="2"/>
      <c r="H61" s="2"/>
      <c r="I61" s="2"/>
      <c r="J61" s="2"/>
    </row>
    <row r="62" spans="1:10" x14ac:dyDescent="0.3">
      <c r="A62" s="2">
        <v>14</v>
      </c>
      <c r="B62" s="1">
        <v>46163</v>
      </c>
      <c r="C62" s="2" t="s">
        <v>21</v>
      </c>
      <c r="D62" s="2" t="s">
        <v>4</v>
      </c>
      <c r="E62" s="2" t="s">
        <v>3</v>
      </c>
      <c r="F62" s="4">
        <f>B108</f>
        <v>2205</v>
      </c>
      <c r="G62" s="2"/>
      <c r="H62" s="2"/>
      <c r="I62" s="2"/>
      <c r="J62" s="2"/>
    </row>
    <row r="63" spans="1:10" x14ac:dyDescent="0.3">
      <c r="A63" s="2">
        <v>15</v>
      </c>
      <c r="B63" s="1">
        <v>46164</v>
      </c>
      <c r="C63" s="2" t="s">
        <v>21</v>
      </c>
      <c r="D63" s="2" t="s">
        <v>4</v>
      </c>
      <c r="E63" s="2" t="s">
        <v>3</v>
      </c>
      <c r="F63" s="4">
        <f>B108</f>
        <v>2205</v>
      </c>
      <c r="G63" s="2"/>
      <c r="H63" s="2"/>
      <c r="I63" s="2"/>
      <c r="J63" s="2"/>
    </row>
    <row r="64" spans="1:10" x14ac:dyDescent="0.3">
      <c r="A64" s="2">
        <v>16</v>
      </c>
      <c r="B64" s="1">
        <v>46167</v>
      </c>
      <c r="C64" s="2" t="s">
        <v>21</v>
      </c>
      <c r="D64" s="2" t="s">
        <v>4</v>
      </c>
      <c r="E64" s="2" t="s">
        <v>3</v>
      </c>
      <c r="F64" s="4">
        <f>B108</f>
        <v>2205</v>
      </c>
      <c r="G64" s="2"/>
      <c r="H64" s="2"/>
      <c r="I64" s="2"/>
      <c r="J64" s="2"/>
    </row>
    <row r="65" spans="1:10" x14ac:dyDescent="0.3">
      <c r="A65" s="2">
        <v>17</v>
      </c>
      <c r="B65" s="1">
        <v>46168</v>
      </c>
      <c r="C65" s="2" t="s">
        <v>21</v>
      </c>
      <c r="D65" s="2" t="s">
        <v>3</v>
      </c>
      <c r="E65" s="2" t="s">
        <v>4</v>
      </c>
      <c r="F65" s="6">
        <f>B209</f>
        <v>0</v>
      </c>
      <c r="G65" s="2"/>
      <c r="H65" s="2"/>
      <c r="I65" s="2"/>
      <c r="J65" s="2"/>
    </row>
    <row r="66" spans="1:10" x14ac:dyDescent="0.3">
      <c r="A66" s="2">
        <v>18</v>
      </c>
      <c r="B66" s="1">
        <v>46169</v>
      </c>
      <c r="C66" s="2" t="s">
        <v>1</v>
      </c>
      <c r="D66" s="2" t="s">
        <v>4</v>
      </c>
      <c r="E66" s="2" t="s">
        <v>3</v>
      </c>
      <c r="F66" s="4">
        <f>B108</f>
        <v>2205</v>
      </c>
      <c r="G66" s="2"/>
      <c r="H66" s="2"/>
      <c r="I66" s="2"/>
      <c r="J66" s="2"/>
    </row>
    <row r="67" spans="1:10" x14ac:dyDescent="0.3">
      <c r="A67" s="2">
        <v>19</v>
      </c>
      <c r="B67" s="1">
        <v>46170</v>
      </c>
      <c r="C67" s="2" t="s">
        <v>1</v>
      </c>
      <c r="D67" s="2" t="s">
        <v>4</v>
      </c>
      <c r="E67" s="2" t="s">
        <v>3</v>
      </c>
      <c r="F67" s="4">
        <f>B108</f>
        <v>2205</v>
      </c>
      <c r="G67" s="2"/>
      <c r="H67" s="2"/>
      <c r="I67" s="2"/>
      <c r="J67" s="2"/>
    </row>
    <row r="68" spans="1:10" x14ac:dyDescent="0.3">
      <c r="A68" s="2">
        <v>20</v>
      </c>
      <c r="B68" s="1">
        <v>46171</v>
      </c>
      <c r="C68" s="2" t="s">
        <v>1</v>
      </c>
      <c r="D68" s="2" t="s">
        <v>3</v>
      </c>
      <c r="E68" s="2" t="s">
        <v>4</v>
      </c>
      <c r="F68" s="6">
        <f>B109</f>
        <v>-2100</v>
      </c>
      <c r="G68" s="2"/>
      <c r="H68" s="2"/>
      <c r="I68" s="2"/>
      <c r="J68" s="2"/>
    </row>
    <row r="69" spans="1:10" x14ac:dyDescent="0.3">
      <c r="C69" s="2"/>
      <c r="D69" s="2"/>
      <c r="E69" s="2"/>
      <c r="F69" s="2"/>
      <c r="G69" s="2"/>
      <c r="H69" s="2"/>
      <c r="I69" s="2"/>
      <c r="J69" s="2"/>
    </row>
    <row r="70" spans="1:10" x14ac:dyDescent="0.3">
      <c r="C70" s="2"/>
      <c r="D70" s="2"/>
      <c r="E70" s="2"/>
      <c r="F70" s="4">
        <f>SUM(F49:F69)</f>
        <v>16065</v>
      </c>
      <c r="G70" s="2"/>
      <c r="H70" s="2"/>
      <c r="I70" s="2"/>
      <c r="J70" s="2"/>
    </row>
    <row r="71" spans="1:10" x14ac:dyDescent="0.3">
      <c r="A71" s="2"/>
      <c r="B71" s="2"/>
      <c r="C71" s="2"/>
      <c r="D71" s="2"/>
      <c r="E71" s="2"/>
      <c r="F71" s="2"/>
      <c r="G71" s="2"/>
      <c r="H71" s="2"/>
      <c r="I71" s="2"/>
      <c r="J71" s="2"/>
    </row>
    <row r="72" spans="1:10" x14ac:dyDescent="0.3">
      <c r="A72" s="2"/>
      <c r="B72" s="2"/>
      <c r="C72" s="2"/>
      <c r="D72" s="21" t="s">
        <v>2</v>
      </c>
      <c r="E72" s="21" t="s">
        <v>11</v>
      </c>
      <c r="F72" s="2"/>
      <c r="G72" s="2"/>
      <c r="H72" s="2"/>
      <c r="I72" s="2"/>
    </row>
    <row r="73" spans="1:10" x14ac:dyDescent="0.3">
      <c r="A73" s="2"/>
      <c r="B73" s="22">
        <v>46174</v>
      </c>
      <c r="C73" s="2" t="s">
        <v>1</v>
      </c>
      <c r="D73" s="2" t="s">
        <v>4</v>
      </c>
      <c r="E73" s="2" t="s">
        <v>3</v>
      </c>
      <c r="F73" s="4">
        <f>B108</f>
        <v>2205</v>
      </c>
      <c r="G73" s="2"/>
      <c r="H73" s="2"/>
      <c r="I73" s="2"/>
    </row>
    <row r="74" spans="1:10" x14ac:dyDescent="0.3">
      <c r="A74" s="2"/>
      <c r="B74" s="22">
        <v>46175</v>
      </c>
      <c r="C74" s="2" t="s">
        <v>0</v>
      </c>
      <c r="D74" s="2" t="s">
        <v>4</v>
      </c>
      <c r="E74" s="2" t="s">
        <v>3</v>
      </c>
      <c r="F74" s="4">
        <f>B108</f>
        <v>2205</v>
      </c>
      <c r="G74" s="2"/>
      <c r="H74" s="2"/>
      <c r="I74" s="2"/>
    </row>
    <row r="75" spans="1:10" x14ac:dyDescent="0.3">
      <c r="A75" s="2"/>
      <c r="B75" s="22">
        <v>46176</v>
      </c>
      <c r="C75" s="2" t="s">
        <v>1</v>
      </c>
      <c r="D75" s="2" t="s">
        <v>3</v>
      </c>
      <c r="E75" s="2" t="s">
        <v>4</v>
      </c>
      <c r="F75" s="6">
        <f>B109</f>
        <v>-2100</v>
      </c>
      <c r="G75" s="2"/>
      <c r="H75" s="2"/>
      <c r="I75" s="2"/>
    </row>
    <row r="76" spans="1:10" x14ac:dyDescent="0.3">
      <c r="A76" s="2"/>
      <c r="B76" s="22">
        <v>46178</v>
      </c>
      <c r="C76" s="2" t="s">
        <v>1</v>
      </c>
      <c r="D76" s="2" t="s">
        <v>15</v>
      </c>
      <c r="E76" s="2"/>
      <c r="F76" s="2"/>
      <c r="G76" s="2"/>
      <c r="H76" s="2"/>
      <c r="I76" s="2"/>
    </row>
    <row r="77" spans="1:10" x14ac:dyDescent="0.3">
      <c r="A77" s="2"/>
      <c r="B77" s="22">
        <v>46181</v>
      </c>
      <c r="C77" s="2" t="s">
        <v>0</v>
      </c>
      <c r="D77" s="2" t="s">
        <v>3</v>
      </c>
      <c r="E77" s="2" t="s">
        <v>4</v>
      </c>
      <c r="F77" s="6">
        <f>B109</f>
        <v>-2100</v>
      </c>
      <c r="G77" s="2"/>
      <c r="H77" s="2"/>
      <c r="I77" s="2"/>
    </row>
    <row r="78" spans="1:10" x14ac:dyDescent="0.3">
      <c r="A78" s="2"/>
      <c r="B78" s="22"/>
      <c r="C78" s="2"/>
      <c r="D78" s="2"/>
      <c r="E78" s="2"/>
      <c r="F78" s="2"/>
      <c r="G78" s="2"/>
      <c r="H78" s="2"/>
      <c r="I78" s="2"/>
    </row>
    <row r="79" spans="1:10" x14ac:dyDescent="0.3">
      <c r="A79" s="2"/>
      <c r="B79" s="22"/>
      <c r="C79" s="2"/>
      <c r="D79" s="2"/>
      <c r="E79" s="2"/>
      <c r="F79" s="2"/>
      <c r="G79" s="2"/>
      <c r="H79" s="2"/>
      <c r="I79" s="2"/>
    </row>
    <row r="80" spans="1:10" x14ac:dyDescent="0.3">
      <c r="A80" s="2"/>
      <c r="B80" s="22"/>
      <c r="C80" s="2"/>
      <c r="D80" s="2"/>
      <c r="E80" s="2"/>
      <c r="F80" s="2"/>
      <c r="G80" s="2"/>
      <c r="H80" s="2"/>
      <c r="I80" s="2"/>
    </row>
    <row r="81" spans="1:9" x14ac:dyDescent="0.3">
      <c r="A81" s="2"/>
      <c r="B81" s="22"/>
      <c r="C81" s="2"/>
      <c r="D81" s="2"/>
      <c r="E81" s="2"/>
      <c r="F81" s="2"/>
      <c r="G81" s="2"/>
      <c r="H81" s="2"/>
      <c r="I81" s="2"/>
    </row>
    <row r="82" spans="1:9" x14ac:dyDescent="0.3">
      <c r="A82" s="2"/>
      <c r="B82" s="22"/>
      <c r="C82" s="2"/>
      <c r="D82" s="2"/>
      <c r="E82" s="2"/>
      <c r="F82" s="2"/>
      <c r="G82" s="2"/>
      <c r="H82" s="2"/>
      <c r="I82" s="2"/>
    </row>
    <row r="83" spans="1:9" x14ac:dyDescent="0.3">
      <c r="A83" s="2"/>
      <c r="B83" s="22"/>
      <c r="C83" s="2"/>
      <c r="D83" s="2"/>
      <c r="E83" s="2"/>
      <c r="F83" s="2"/>
      <c r="G83" s="2"/>
      <c r="H83" s="2"/>
      <c r="I83" s="2"/>
    </row>
    <row r="84" spans="1:9" x14ac:dyDescent="0.3">
      <c r="A84" s="2"/>
      <c r="B84" s="22"/>
      <c r="C84" s="2"/>
      <c r="D84" s="2"/>
      <c r="E84" s="2"/>
      <c r="F84" s="2"/>
      <c r="G84" s="2"/>
      <c r="H84" s="2"/>
      <c r="I84" s="2"/>
    </row>
    <row r="85" spans="1:9" x14ac:dyDescent="0.3">
      <c r="A85" s="2"/>
      <c r="B85" s="22"/>
      <c r="C85" s="2"/>
      <c r="D85" s="2"/>
      <c r="E85" s="2"/>
      <c r="F85" s="2"/>
      <c r="G85" s="2"/>
      <c r="H85" s="2"/>
      <c r="I85" s="2"/>
    </row>
    <row r="86" spans="1:9" x14ac:dyDescent="0.3">
      <c r="A86" s="2"/>
      <c r="B86" s="22"/>
      <c r="C86" s="2"/>
      <c r="D86" s="2"/>
      <c r="E86" s="2"/>
      <c r="F86" s="2"/>
      <c r="G86" s="2"/>
      <c r="H86" s="2"/>
      <c r="I86" s="2"/>
    </row>
    <row r="87" spans="1:9" x14ac:dyDescent="0.3">
      <c r="A87" s="2"/>
      <c r="B87" s="22"/>
      <c r="C87" s="2"/>
      <c r="D87" s="2"/>
      <c r="E87" s="2"/>
      <c r="F87" s="2"/>
      <c r="G87" s="2"/>
      <c r="H87" s="2"/>
      <c r="I87" s="2"/>
    </row>
    <row r="88" spans="1:9" x14ac:dyDescent="0.3">
      <c r="A88" s="2"/>
      <c r="B88" s="22"/>
      <c r="C88" s="2"/>
      <c r="D88" s="2"/>
      <c r="E88" s="2"/>
      <c r="F88" s="2"/>
      <c r="G88" s="2"/>
      <c r="H88" s="2"/>
      <c r="I88" s="2"/>
    </row>
    <row r="89" spans="1:9" x14ac:dyDescent="0.3">
      <c r="A89" s="2"/>
      <c r="B89" s="22"/>
      <c r="C89" s="2"/>
      <c r="D89" s="2"/>
      <c r="E89" s="2"/>
      <c r="F89" s="2"/>
      <c r="G89" s="2"/>
      <c r="H89" s="2"/>
      <c r="I89" s="2"/>
    </row>
    <row r="90" spans="1:9" ht="15.6" x14ac:dyDescent="0.3">
      <c r="A90" s="2"/>
      <c r="B90" s="22"/>
      <c r="C90" s="2"/>
      <c r="D90" s="2"/>
      <c r="E90" s="2"/>
      <c r="F90" s="7">
        <f>SUM(F73:F89)</f>
        <v>210</v>
      </c>
      <c r="G90" s="2"/>
      <c r="H90" s="2"/>
      <c r="I90" s="2"/>
    </row>
    <row r="91" spans="1:9" x14ac:dyDescent="0.3">
      <c r="A91" s="2"/>
      <c r="B91" s="22"/>
      <c r="C91" s="2"/>
      <c r="D91" s="2"/>
      <c r="E91" s="2"/>
      <c r="F91" s="2"/>
      <c r="G91" s="2"/>
      <c r="H91" s="2"/>
      <c r="I91" s="2"/>
    </row>
    <row r="92" spans="1:9" x14ac:dyDescent="0.3">
      <c r="A92" s="2"/>
      <c r="B92" s="22"/>
      <c r="C92" s="2"/>
      <c r="D92" s="2"/>
      <c r="E92" s="2"/>
      <c r="F92" s="2"/>
      <c r="G92" s="2"/>
      <c r="H92" s="2"/>
      <c r="I92" s="2"/>
    </row>
    <row r="93" spans="1:9" x14ac:dyDescent="0.3">
      <c r="A93" s="2"/>
      <c r="B93" s="22"/>
      <c r="C93" s="2"/>
      <c r="D93" s="2"/>
      <c r="E93" s="2"/>
      <c r="F93" s="2"/>
      <c r="G93" s="2"/>
      <c r="H93" s="2"/>
      <c r="I93" s="2"/>
    </row>
    <row r="94" spans="1:9" x14ac:dyDescent="0.3">
      <c r="A94" s="2"/>
      <c r="B94" s="22"/>
      <c r="C94" s="2"/>
      <c r="D94" s="2"/>
      <c r="E94" s="2"/>
      <c r="F94" s="2"/>
      <c r="G94" s="2"/>
      <c r="H94" s="2"/>
      <c r="I94" s="2"/>
    </row>
    <row r="95" spans="1:9" x14ac:dyDescent="0.3">
      <c r="A95" s="2"/>
      <c r="B95" s="22"/>
      <c r="C95" s="2"/>
      <c r="D95" s="2"/>
      <c r="E95" s="2"/>
      <c r="F95" s="2"/>
      <c r="G95" s="2"/>
      <c r="H95" s="2"/>
      <c r="I95" s="2"/>
    </row>
    <row r="96" spans="1:9" x14ac:dyDescent="0.3">
      <c r="A96" s="2"/>
      <c r="B96" s="22"/>
      <c r="C96" s="2"/>
      <c r="D96" s="2"/>
      <c r="E96" s="2"/>
      <c r="F96" s="2"/>
      <c r="G96" s="2"/>
      <c r="H96" s="2"/>
      <c r="I96" s="2"/>
    </row>
    <row r="97" spans="1:9" x14ac:dyDescent="0.3">
      <c r="A97" s="2"/>
      <c r="B97" s="22"/>
      <c r="C97" s="2"/>
      <c r="D97" s="2"/>
      <c r="E97" s="2"/>
      <c r="F97" s="2"/>
      <c r="G97" s="2"/>
      <c r="H97" s="2"/>
      <c r="I97" s="2"/>
    </row>
    <row r="98" spans="1:9" x14ac:dyDescent="0.3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3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3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3">
      <c r="F101" s="5"/>
    </row>
    <row r="105" spans="1:9" x14ac:dyDescent="0.3">
      <c r="A105" s="2" t="s">
        <v>6</v>
      </c>
      <c r="B105" s="2">
        <v>21</v>
      </c>
      <c r="C105" s="2"/>
      <c r="D105" s="2"/>
    </row>
    <row r="106" spans="1:9" x14ac:dyDescent="0.3">
      <c r="A106" s="2" t="s">
        <v>2</v>
      </c>
      <c r="B106" s="2">
        <v>-10</v>
      </c>
      <c r="C106" s="2"/>
      <c r="D106" s="2"/>
    </row>
    <row r="107" spans="1:9" x14ac:dyDescent="0.3">
      <c r="A107" s="2" t="s">
        <v>38</v>
      </c>
      <c r="B107" s="2">
        <v>10.5</v>
      </c>
      <c r="C107" s="2"/>
      <c r="D107" s="2"/>
    </row>
    <row r="108" spans="1:9" x14ac:dyDescent="0.3">
      <c r="A108" s="2" t="s">
        <v>39</v>
      </c>
      <c r="B108" s="4">
        <f>B105*B107*10</f>
        <v>2205</v>
      </c>
      <c r="C108" s="2"/>
      <c r="D108" s="2"/>
    </row>
    <row r="109" spans="1:9" x14ac:dyDescent="0.3">
      <c r="A109" s="2" t="s">
        <v>40</v>
      </c>
      <c r="B109" s="6">
        <f>B106*B105*10</f>
        <v>-2100</v>
      </c>
      <c r="C109" s="2"/>
      <c r="D109" s="2"/>
    </row>
    <row r="110" spans="1:9" x14ac:dyDescent="0.3">
      <c r="A110" s="2"/>
      <c r="B110" s="2"/>
      <c r="C110" s="2"/>
      <c r="D110" s="2"/>
    </row>
    <row r="111" spans="1:9" x14ac:dyDescent="0.3">
      <c r="A111" s="2"/>
      <c r="B111" s="2"/>
      <c r="C111" s="2"/>
      <c r="D111" s="2"/>
    </row>
    <row r="112" spans="1:9" x14ac:dyDescent="0.3">
      <c r="A112" s="2"/>
      <c r="B112" s="2"/>
      <c r="C112" s="2"/>
      <c r="D112" s="2"/>
    </row>
    <row r="113" spans="1:4" x14ac:dyDescent="0.3">
      <c r="A113" s="2"/>
      <c r="B113" s="2"/>
      <c r="C113" s="2"/>
      <c r="D113" s="2"/>
    </row>
    <row r="114" spans="1:4" x14ac:dyDescent="0.3">
      <c r="A114" s="2"/>
      <c r="B114" s="2"/>
      <c r="C114" s="2"/>
      <c r="D114" s="2"/>
    </row>
    <row r="115" spans="1:4" x14ac:dyDescent="0.3">
      <c r="A115" s="2"/>
      <c r="B115" s="2"/>
      <c r="C115" s="2"/>
      <c r="D1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560E0-0926-4C06-AC0E-1C5603F16542}">
  <dimension ref="A1:L120"/>
  <sheetViews>
    <sheetView workbookViewId="0">
      <selection activeCell="E118" sqref="E118"/>
    </sheetView>
  </sheetViews>
  <sheetFormatPr defaultRowHeight="14.4" x14ac:dyDescent="0.3"/>
  <cols>
    <col min="1" max="1" width="18.44140625" bestFit="1" customWidth="1"/>
    <col min="2" max="2" width="11.5546875" bestFit="1" customWidth="1"/>
    <col min="3" max="3" width="10.6640625" bestFit="1" customWidth="1"/>
    <col min="4" max="4" width="11.21875" bestFit="1" customWidth="1"/>
    <col min="5" max="6" width="9.88671875" bestFit="1" customWidth="1"/>
    <col min="7" max="7" width="12.6640625" bestFit="1" customWidth="1"/>
    <col min="9" max="10" width="11.5546875" bestFit="1" customWidth="1"/>
    <col min="11" max="11" width="10.5546875" bestFit="1" customWidth="1"/>
  </cols>
  <sheetData>
    <row r="1" spans="1:7" x14ac:dyDescent="0.3">
      <c r="A1" s="33" t="s">
        <v>17</v>
      </c>
      <c r="B1" s="33"/>
      <c r="C1" s="33"/>
      <c r="D1" t="s">
        <v>6</v>
      </c>
      <c r="E1" s="2">
        <v>14</v>
      </c>
    </row>
    <row r="2" spans="1:7" x14ac:dyDescent="0.3">
      <c r="A2" s="2"/>
      <c r="B2" s="2"/>
      <c r="C2" s="2"/>
      <c r="E2" s="2"/>
    </row>
    <row r="3" spans="1:7" x14ac:dyDescent="0.3">
      <c r="A3" s="2"/>
      <c r="B3" s="2"/>
      <c r="C3" s="2"/>
      <c r="E3" s="2"/>
    </row>
    <row r="4" spans="1:7" x14ac:dyDescent="0.3">
      <c r="D4" s="21" t="s">
        <v>2</v>
      </c>
      <c r="E4" s="21" t="s">
        <v>13</v>
      </c>
      <c r="F4" s="21" t="s">
        <v>11</v>
      </c>
      <c r="G4" s="5"/>
    </row>
    <row r="5" spans="1:7" x14ac:dyDescent="0.3">
      <c r="B5" s="3">
        <v>46085</v>
      </c>
      <c r="C5" s="2" t="s">
        <v>1</v>
      </c>
      <c r="D5" s="2" t="s">
        <v>3</v>
      </c>
      <c r="E5" s="2"/>
      <c r="F5" s="2" t="s">
        <v>4</v>
      </c>
      <c r="G5" s="6">
        <f>B115</f>
        <v>-2221.5</v>
      </c>
    </row>
    <row r="6" spans="1:7" x14ac:dyDescent="0.3">
      <c r="B6" s="3">
        <v>46086</v>
      </c>
      <c r="C6" s="2" t="s">
        <v>1</v>
      </c>
      <c r="D6" s="2" t="s">
        <v>3</v>
      </c>
      <c r="E6" s="2"/>
      <c r="F6" s="2" t="s">
        <v>4</v>
      </c>
      <c r="G6" s="6">
        <f>B115</f>
        <v>-2221.5</v>
      </c>
    </row>
    <row r="7" spans="1:7" x14ac:dyDescent="0.3">
      <c r="B7" s="3">
        <v>46087</v>
      </c>
      <c r="C7" s="2" t="s">
        <v>0</v>
      </c>
      <c r="D7" s="2" t="s">
        <v>4</v>
      </c>
      <c r="E7" s="2"/>
      <c r="F7" s="2" t="s">
        <v>3</v>
      </c>
      <c r="G7" s="4">
        <f>B114</f>
        <v>3203.4</v>
      </c>
    </row>
    <row r="8" spans="1:7" x14ac:dyDescent="0.3">
      <c r="B8" s="3">
        <v>46090</v>
      </c>
      <c r="C8" s="2" t="s">
        <v>0</v>
      </c>
      <c r="D8" s="2" t="s">
        <v>4</v>
      </c>
      <c r="E8" s="2"/>
      <c r="F8" s="2" t="s">
        <v>3</v>
      </c>
      <c r="G8" s="4">
        <f>B114</f>
        <v>3203.4</v>
      </c>
    </row>
    <row r="9" spans="1:7" x14ac:dyDescent="0.3">
      <c r="B9" s="3">
        <v>46091</v>
      </c>
      <c r="C9" s="2" t="s">
        <v>1</v>
      </c>
      <c r="D9" s="2" t="s">
        <v>4</v>
      </c>
      <c r="E9" s="2"/>
      <c r="F9" s="2" t="s">
        <v>3</v>
      </c>
      <c r="G9" s="4">
        <f>B114</f>
        <v>3203.4</v>
      </c>
    </row>
    <row r="10" spans="1:7" x14ac:dyDescent="0.3">
      <c r="B10" s="3">
        <v>46092</v>
      </c>
      <c r="C10" s="2" t="s">
        <v>1</v>
      </c>
      <c r="D10" s="2" t="s">
        <v>3</v>
      </c>
      <c r="E10" s="2"/>
      <c r="F10" s="2" t="s">
        <v>4</v>
      </c>
      <c r="G10" s="6">
        <f>B115</f>
        <v>-2221.5</v>
      </c>
    </row>
    <row r="11" spans="1:7" x14ac:dyDescent="0.3">
      <c r="B11" s="3">
        <v>46093</v>
      </c>
      <c r="C11" s="2" t="s">
        <v>0</v>
      </c>
      <c r="D11" s="2" t="s">
        <v>4</v>
      </c>
      <c r="E11" s="2"/>
      <c r="F11" s="2" t="s">
        <v>3</v>
      </c>
      <c r="G11" s="4">
        <f>B114</f>
        <v>3203.4</v>
      </c>
    </row>
    <row r="12" spans="1:7" x14ac:dyDescent="0.3">
      <c r="B12" s="3">
        <v>46094</v>
      </c>
      <c r="C12" s="2" t="s">
        <v>0</v>
      </c>
      <c r="D12" s="2" t="s">
        <v>4</v>
      </c>
      <c r="E12" s="2"/>
      <c r="F12" s="2" t="s">
        <v>3</v>
      </c>
      <c r="G12" s="4">
        <f>B114</f>
        <v>3203.4</v>
      </c>
    </row>
    <row r="13" spans="1:7" x14ac:dyDescent="0.3">
      <c r="B13" s="3">
        <v>46097</v>
      </c>
      <c r="C13" s="2" t="s">
        <v>1</v>
      </c>
      <c r="D13" s="2" t="s">
        <v>4</v>
      </c>
      <c r="E13" s="2"/>
      <c r="F13" s="2" t="s">
        <v>3</v>
      </c>
      <c r="G13" s="4">
        <f>B114</f>
        <v>3203.4</v>
      </c>
    </row>
    <row r="14" spans="1:7" x14ac:dyDescent="0.3">
      <c r="B14" s="3">
        <v>46099</v>
      </c>
      <c r="C14" s="2" t="s">
        <v>1</v>
      </c>
      <c r="D14" s="2" t="s">
        <v>3</v>
      </c>
      <c r="E14" s="2"/>
      <c r="F14" s="2" t="s">
        <v>4</v>
      </c>
      <c r="G14" s="6">
        <f>B115</f>
        <v>-2221.5</v>
      </c>
    </row>
    <row r="15" spans="1:7" x14ac:dyDescent="0.3">
      <c r="B15" s="3">
        <v>46100</v>
      </c>
      <c r="C15" s="2" t="s">
        <v>1</v>
      </c>
      <c r="D15" s="2" t="s">
        <v>4</v>
      </c>
      <c r="E15" s="2"/>
      <c r="F15" s="2" t="s">
        <v>3</v>
      </c>
      <c r="G15" s="4">
        <f>B114</f>
        <v>3203.4</v>
      </c>
    </row>
    <row r="16" spans="1:7" x14ac:dyDescent="0.3">
      <c r="B16" s="3">
        <v>46101</v>
      </c>
      <c r="C16" s="2" t="s">
        <v>0</v>
      </c>
      <c r="D16" s="2" t="s">
        <v>4</v>
      </c>
      <c r="E16" s="2"/>
      <c r="F16" s="2" t="s">
        <v>3</v>
      </c>
      <c r="G16" s="4">
        <f>B114</f>
        <v>3203.4</v>
      </c>
    </row>
    <row r="17" spans="1:9" x14ac:dyDescent="0.3">
      <c r="B17" s="3">
        <v>46104</v>
      </c>
      <c r="C17" s="2" t="s">
        <v>0</v>
      </c>
      <c r="D17" s="2" t="s">
        <v>3</v>
      </c>
      <c r="E17" s="2"/>
      <c r="F17" s="2" t="s">
        <v>4</v>
      </c>
      <c r="G17" s="6">
        <f>B115</f>
        <v>-2221.5</v>
      </c>
    </row>
    <row r="18" spans="1:9" x14ac:dyDescent="0.3">
      <c r="B18" s="3">
        <v>46105</v>
      </c>
      <c r="C18" s="2" t="s">
        <v>0</v>
      </c>
      <c r="D18" s="2" t="s">
        <v>4</v>
      </c>
      <c r="E18" s="2"/>
      <c r="F18" s="2" t="s">
        <v>3</v>
      </c>
      <c r="G18" s="4">
        <f>B114</f>
        <v>3203.4</v>
      </c>
    </row>
    <row r="19" spans="1:9" x14ac:dyDescent="0.3">
      <c r="B19" s="3">
        <v>46106</v>
      </c>
      <c r="C19" s="2" t="s">
        <v>1</v>
      </c>
      <c r="D19" s="2" t="s">
        <v>3</v>
      </c>
      <c r="E19" s="2"/>
      <c r="F19" s="2" t="s">
        <v>4</v>
      </c>
      <c r="G19" s="6">
        <f>B115</f>
        <v>-2221.5</v>
      </c>
    </row>
    <row r="20" spans="1:9" x14ac:dyDescent="0.3">
      <c r="B20" s="3">
        <v>46107</v>
      </c>
      <c r="C20" s="2" t="s">
        <v>0</v>
      </c>
      <c r="D20" s="2" t="s">
        <v>4</v>
      </c>
      <c r="E20" s="2"/>
      <c r="F20" s="2" t="s">
        <v>3</v>
      </c>
      <c r="G20" s="4">
        <f>B114</f>
        <v>3203.4</v>
      </c>
    </row>
    <row r="21" spans="1:9" x14ac:dyDescent="0.3">
      <c r="B21" s="3">
        <v>46108</v>
      </c>
      <c r="C21" s="2" t="s">
        <v>0</v>
      </c>
      <c r="D21" s="2" t="s">
        <v>4</v>
      </c>
      <c r="E21" s="2"/>
      <c r="F21" s="2" t="s">
        <v>3</v>
      </c>
      <c r="G21" s="4">
        <f>B114</f>
        <v>3203.4</v>
      </c>
    </row>
    <row r="22" spans="1:9" x14ac:dyDescent="0.3">
      <c r="B22" s="3">
        <v>46111</v>
      </c>
      <c r="C22" s="2" t="s">
        <v>1</v>
      </c>
      <c r="D22" s="2" t="s">
        <v>4</v>
      </c>
      <c r="E22" s="2"/>
      <c r="F22" s="2" t="s">
        <v>3</v>
      </c>
      <c r="G22" s="4">
        <f>B114</f>
        <v>3203.4</v>
      </c>
    </row>
    <row r="23" spans="1:9" x14ac:dyDescent="0.3">
      <c r="B23" s="3">
        <v>46112</v>
      </c>
      <c r="C23" s="2" t="s">
        <v>1</v>
      </c>
      <c r="D23" s="2" t="s">
        <v>4</v>
      </c>
      <c r="E23" s="2"/>
      <c r="F23" s="2" t="s">
        <v>3</v>
      </c>
      <c r="G23" s="4">
        <f>B114</f>
        <v>3203.4</v>
      </c>
    </row>
    <row r="24" spans="1:9" x14ac:dyDescent="0.3">
      <c r="B24" s="3"/>
      <c r="C24" s="2"/>
      <c r="D24" s="2"/>
      <c r="E24" s="2"/>
      <c r="F24" s="2"/>
      <c r="G24" s="4"/>
    </row>
    <row r="25" spans="1:9" ht="15.6" x14ac:dyDescent="0.3">
      <c r="B25" s="3"/>
      <c r="C25" s="2"/>
      <c r="D25" s="2"/>
      <c r="E25" s="2"/>
      <c r="F25" s="2"/>
      <c r="G25" s="7">
        <f>SUM(G5:G24)</f>
        <v>28315.200000000008</v>
      </c>
      <c r="I25" s="5"/>
    </row>
    <row r="27" spans="1:9" x14ac:dyDescent="0.3">
      <c r="B27" s="1"/>
      <c r="D27" s="21" t="s">
        <v>2</v>
      </c>
      <c r="E27" s="21" t="s">
        <v>13</v>
      </c>
      <c r="F27" s="21" t="s">
        <v>11</v>
      </c>
    </row>
    <row r="28" spans="1:9" x14ac:dyDescent="0.3">
      <c r="A28" s="2">
        <v>1</v>
      </c>
      <c r="B28" s="1">
        <v>46113</v>
      </c>
      <c r="C28" s="2" t="s">
        <v>1</v>
      </c>
      <c r="D28" s="2" t="s">
        <v>4</v>
      </c>
      <c r="E28" s="2"/>
      <c r="F28" s="2" t="s">
        <v>3</v>
      </c>
      <c r="G28" s="4">
        <f>B114</f>
        <v>3203.4</v>
      </c>
    </row>
    <row r="29" spans="1:9" x14ac:dyDescent="0.3">
      <c r="A29" s="2">
        <v>2</v>
      </c>
      <c r="B29" s="1">
        <v>46114</v>
      </c>
      <c r="C29" s="2" t="s">
        <v>0</v>
      </c>
      <c r="D29" s="2" t="s">
        <v>3</v>
      </c>
      <c r="E29" s="2"/>
      <c r="F29" s="2" t="s">
        <v>4</v>
      </c>
      <c r="G29" s="6">
        <f>B115</f>
        <v>-2221.5</v>
      </c>
    </row>
    <row r="30" spans="1:9" x14ac:dyDescent="0.3">
      <c r="A30" s="2">
        <v>3</v>
      </c>
      <c r="B30" s="1">
        <v>46118</v>
      </c>
      <c r="C30" s="2" t="s">
        <v>1</v>
      </c>
      <c r="D30" s="2" t="s">
        <v>3</v>
      </c>
      <c r="E30" s="2"/>
      <c r="F30" s="2" t="s">
        <v>4</v>
      </c>
      <c r="G30" s="6">
        <f>B115</f>
        <v>-2221.5</v>
      </c>
    </row>
    <row r="31" spans="1:9" x14ac:dyDescent="0.3">
      <c r="A31" s="2">
        <v>4</v>
      </c>
      <c r="B31" s="1">
        <v>46119</v>
      </c>
      <c r="C31" s="2" t="s">
        <v>1</v>
      </c>
      <c r="D31" s="2" t="s">
        <v>3</v>
      </c>
      <c r="E31" s="2"/>
      <c r="F31" s="2" t="s">
        <v>4</v>
      </c>
      <c r="G31" s="6">
        <f>B115</f>
        <v>-2221.5</v>
      </c>
    </row>
    <row r="32" spans="1:9" x14ac:dyDescent="0.3">
      <c r="A32" s="2">
        <v>5</v>
      </c>
      <c r="B32" s="1">
        <v>46120</v>
      </c>
      <c r="C32" s="2" t="s">
        <v>1</v>
      </c>
      <c r="D32" s="2" t="s">
        <v>4</v>
      </c>
      <c r="E32" s="2"/>
      <c r="F32" s="2" t="s">
        <v>3</v>
      </c>
      <c r="G32" s="4">
        <f>B114</f>
        <v>3203.4</v>
      </c>
    </row>
    <row r="33" spans="1:7" x14ac:dyDescent="0.3">
      <c r="A33" s="2">
        <v>6</v>
      </c>
      <c r="B33" s="1">
        <v>46121</v>
      </c>
      <c r="C33" s="2" t="s">
        <v>0</v>
      </c>
      <c r="D33" s="2" t="s">
        <v>4</v>
      </c>
      <c r="E33" s="2"/>
      <c r="F33" s="2" t="s">
        <v>3</v>
      </c>
      <c r="G33" s="4">
        <f>B114</f>
        <v>3203.4</v>
      </c>
    </row>
    <row r="34" spans="1:7" x14ac:dyDescent="0.3">
      <c r="A34" s="2">
        <v>7</v>
      </c>
      <c r="B34" s="1">
        <v>46122</v>
      </c>
      <c r="C34" s="2" t="s">
        <v>1</v>
      </c>
      <c r="D34" s="2" t="s">
        <v>3</v>
      </c>
      <c r="E34" s="2"/>
      <c r="F34" s="2" t="s">
        <v>4</v>
      </c>
      <c r="G34" s="6">
        <f>B115</f>
        <v>-2221.5</v>
      </c>
    </row>
    <row r="35" spans="1:7" x14ac:dyDescent="0.3">
      <c r="A35" s="2">
        <v>8</v>
      </c>
      <c r="B35" s="1">
        <v>46125</v>
      </c>
      <c r="C35" s="2" t="s">
        <v>0</v>
      </c>
      <c r="D35" s="2" t="s">
        <v>4</v>
      </c>
      <c r="E35" s="2"/>
      <c r="F35" s="2" t="s">
        <v>3</v>
      </c>
      <c r="G35" s="4">
        <f>B114</f>
        <v>3203.4</v>
      </c>
    </row>
    <row r="36" spans="1:7" x14ac:dyDescent="0.3">
      <c r="A36" s="2">
        <v>9</v>
      </c>
      <c r="B36" s="1">
        <v>46126</v>
      </c>
      <c r="C36" s="2" t="s">
        <v>1</v>
      </c>
      <c r="D36" s="2" t="s">
        <v>4</v>
      </c>
      <c r="E36" s="2"/>
      <c r="F36" s="2" t="s">
        <v>3</v>
      </c>
      <c r="G36" s="4">
        <f>B114</f>
        <v>3203.4</v>
      </c>
    </row>
    <row r="37" spans="1:7" x14ac:dyDescent="0.3">
      <c r="A37" s="2">
        <v>10</v>
      </c>
      <c r="B37" s="1">
        <v>46127</v>
      </c>
      <c r="C37" s="2" t="s">
        <v>1</v>
      </c>
      <c r="D37" s="2" t="s">
        <v>3</v>
      </c>
      <c r="E37" s="2"/>
      <c r="F37" s="2" t="s">
        <v>4</v>
      </c>
      <c r="G37" s="6">
        <f>B115</f>
        <v>-2221.5</v>
      </c>
    </row>
    <row r="38" spans="1:7" x14ac:dyDescent="0.3">
      <c r="A38" s="2">
        <v>11</v>
      </c>
      <c r="B38" s="1">
        <v>46128</v>
      </c>
      <c r="C38" s="2" t="s">
        <v>1</v>
      </c>
      <c r="D38" s="2" t="s">
        <v>3</v>
      </c>
      <c r="E38" s="2"/>
      <c r="F38" s="2" t="s">
        <v>4</v>
      </c>
      <c r="G38" s="6">
        <f>B115</f>
        <v>-2221.5</v>
      </c>
    </row>
    <row r="39" spans="1:7" x14ac:dyDescent="0.3">
      <c r="A39" s="2">
        <v>12</v>
      </c>
      <c r="B39" s="1">
        <v>46129</v>
      </c>
      <c r="C39" s="2" t="s">
        <v>1</v>
      </c>
      <c r="D39" s="2" t="s">
        <v>3</v>
      </c>
      <c r="E39" s="2"/>
      <c r="F39" s="2" t="s">
        <v>4</v>
      </c>
      <c r="G39" s="6">
        <f>B115</f>
        <v>-2221.5</v>
      </c>
    </row>
    <row r="40" spans="1:7" x14ac:dyDescent="0.3">
      <c r="A40" s="2">
        <v>13</v>
      </c>
      <c r="B40" s="1">
        <v>46132</v>
      </c>
      <c r="C40" s="2" t="s">
        <v>0</v>
      </c>
      <c r="D40" s="2" t="s">
        <v>3</v>
      </c>
      <c r="E40" s="2"/>
      <c r="F40" s="2" t="s">
        <v>4</v>
      </c>
      <c r="G40" s="6">
        <f>B115</f>
        <v>-2221.5</v>
      </c>
    </row>
    <row r="41" spans="1:7" x14ac:dyDescent="0.3">
      <c r="A41" s="2">
        <v>14</v>
      </c>
      <c r="B41" s="1">
        <v>46134</v>
      </c>
      <c r="C41" s="2" t="s">
        <v>1</v>
      </c>
      <c r="D41" s="2" t="s">
        <v>3</v>
      </c>
      <c r="E41" s="2"/>
      <c r="F41" s="2" t="s">
        <v>4</v>
      </c>
      <c r="G41" s="6">
        <f>B115</f>
        <v>-2221.5</v>
      </c>
    </row>
    <row r="42" spans="1:7" x14ac:dyDescent="0.3">
      <c r="A42" s="2">
        <v>15</v>
      </c>
      <c r="B42" s="1">
        <v>46135</v>
      </c>
      <c r="C42" s="2" t="s">
        <v>0</v>
      </c>
      <c r="D42" s="2" t="s">
        <v>4</v>
      </c>
      <c r="E42" s="2"/>
      <c r="F42" s="2" t="s">
        <v>3</v>
      </c>
      <c r="G42" s="4">
        <f>B114</f>
        <v>3203.4</v>
      </c>
    </row>
    <row r="43" spans="1:7" x14ac:dyDescent="0.3">
      <c r="A43" s="2">
        <v>16</v>
      </c>
      <c r="B43" s="1">
        <v>46136</v>
      </c>
      <c r="C43" s="2" t="s">
        <v>0</v>
      </c>
      <c r="D43" s="2" t="s">
        <v>3</v>
      </c>
      <c r="E43" s="2"/>
      <c r="F43" s="2" t="s">
        <v>4</v>
      </c>
      <c r="G43" s="6">
        <f>B115</f>
        <v>-2221.5</v>
      </c>
    </row>
    <row r="44" spans="1:7" x14ac:dyDescent="0.3">
      <c r="A44" s="2">
        <v>17</v>
      </c>
      <c r="B44" s="1">
        <v>46139</v>
      </c>
      <c r="C44" s="2" t="s">
        <v>1</v>
      </c>
      <c r="D44" s="2" t="s">
        <v>3</v>
      </c>
      <c r="E44" s="2"/>
      <c r="F44" s="2" t="s">
        <v>4</v>
      </c>
      <c r="G44" s="6">
        <f>B115</f>
        <v>-2221.5</v>
      </c>
    </row>
    <row r="45" spans="1:7" x14ac:dyDescent="0.3">
      <c r="A45" s="2">
        <v>18</v>
      </c>
      <c r="B45" s="1">
        <v>46140</v>
      </c>
      <c r="C45" s="2" t="s">
        <v>0</v>
      </c>
      <c r="D45" s="2" t="s">
        <v>4</v>
      </c>
      <c r="E45" s="2"/>
      <c r="F45" s="2" t="s">
        <v>3</v>
      </c>
      <c r="G45" s="4">
        <f>B114</f>
        <v>3203.4</v>
      </c>
    </row>
    <row r="46" spans="1:7" x14ac:dyDescent="0.3">
      <c r="A46" s="2">
        <v>19</v>
      </c>
      <c r="B46" s="1">
        <v>46141</v>
      </c>
      <c r="C46" s="2" t="s">
        <v>1</v>
      </c>
      <c r="D46" s="2" t="s">
        <v>3</v>
      </c>
      <c r="E46" s="2"/>
      <c r="F46" s="2" t="s">
        <v>4</v>
      </c>
      <c r="G46" s="6">
        <f>B115</f>
        <v>-2221.5</v>
      </c>
    </row>
    <row r="47" spans="1:7" x14ac:dyDescent="0.3">
      <c r="A47" s="2">
        <v>20</v>
      </c>
      <c r="B47" s="1">
        <v>46142</v>
      </c>
      <c r="C47" s="2" t="s">
        <v>1</v>
      </c>
      <c r="D47" s="2" t="s">
        <v>4</v>
      </c>
      <c r="E47" s="2"/>
      <c r="F47" s="2" t="s">
        <v>3</v>
      </c>
      <c r="G47" s="4">
        <f>B114</f>
        <v>3203.4</v>
      </c>
    </row>
    <row r="49" spans="1:10" ht="15.6" x14ac:dyDescent="0.3">
      <c r="G49" s="7">
        <f>SUM(G28:G48)</f>
        <v>-1030.8000000000006</v>
      </c>
      <c r="I49" s="5"/>
    </row>
    <row r="51" spans="1:10" x14ac:dyDescent="0.3">
      <c r="D51" s="21" t="s">
        <v>2</v>
      </c>
      <c r="E51" s="21" t="s">
        <v>11</v>
      </c>
    </row>
    <row r="52" spans="1:10" x14ac:dyDescent="0.3">
      <c r="A52" s="2">
        <v>1</v>
      </c>
      <c r="B52" s="1">
        <v>46146</v>
      </c>
      <c r="C52" s="21" t="s">
        <v>1</v>
      </c>
      <c r="D52" s="2" t="s">
        <v>3</v>
      </c>
      <c r="E52" s="2" t="s">
        <v>4</v>
      </c>
      <c r="F52" s="2"/>
      <c r="G52" s="6">
        <f>B115</f>
        <v>-2221.5</v>
      </c>
      <c r="H52" s="2"/>
      <c r="I52" s="2"/>
      <c r="J52" s="2"/>
    </row>
    <row r="53" spans="1:10" x14ac:dyDescent="0.3">
      <c r="A53" s="2">
        <v>2</v>
      </c>
      <c r="B53" s="1">
        <v>46147</v>
      </c>
      <c r="C53" s="21" t="s">
        <v>1</v>
      </c>
      <c r="D53" s="2" t="s">
        <v>3</v>
      </c>
      <c r="E53" s="2" t="s">
        <v>4</v>
      </c>
      <c r="F53" s="2"/>
      <c r="G53" s="6">
        <f>B115</f>
        <v>-2221.5</v>
      </c>
      <c r="H53" s="2"/>
      <c r="I53" s="2"/>
      <c r="J53" s="2"/>
    </row>
    <row r="54" spans="1:10" x14ac:dyDescent="0.3">
      <c r="A54" s="2">
        <v>3</v>
      </c>
      <c r="B54" s="1">
        <v>46148</v>
      </c>
      <c r="C54" s="21" t="s">
        <v>1</v>
      </c>
      <c r="D54" s="2" t="s">
        <v>3</v>
      </c>
      <c r="E54" s="2" t="s">
        <v>4</v>
      </c>
      <c r="F54" s="2"/>
      <c r="G54" s="6">
        <f>B115</f>
        <v>-2221.5</v>
      </c>
      <c r="H54" s="2"/>
      <c r="I54" s="2"/>
      <c r="J54" s="2"/>
    </row>
    <row r="55" spans="1:10" x14ac:dyDescent="0.3">
      <c r="A55" s="2">
        <v>4</v>
      </c>
      <c r="B55" s="1">
        <v>46149</v>
      </c>
      <c r="C55" s="21" t="s">
        <v>15</v>
      </c>
      <c r="D55" s="2"/>
      <c r="E55" s="2"/>
      <c r="F55" s="2"/>
      <c r="G55" s="4"/>
      <c r="H55" s="2"/>
      <c r="I55" s="2"/>
      <c r="J55" s="2"/>
    </row>
    <row r="56" spans="1:10" x14ac:dyDescent="0.3">
      <c r="A56" s="2">
        <v>5</v>
      </c>
      <c r="B56" s="1">
        <v>46150</v>
      </c>
      <c r="C56" s="21" t="s">
        <v>1</v>
      </c>
      <c r="D56" s="2" t="s">
        <v>4</v>
      </c>
      <c r="E56" s="2" t="s">
        <v>3</v>
      </c>
      <c r="F56" s="2"/>
      <c r="G56" s="4">
        <f>B114</f>
        <v>3203.4</v>
      </c>
      <c r="H56" s="2"/>
      <c r="I56" s="2"/>
      <c r="J56" s="2"/>
    </row>
    <row r="57" spans="1:10" x14ac:dyDescent="0.3">
      <c r="A57" s="2">
        <v>6</v>
      </c>
      <c r="B57" s="1">
        <v>46153</v>
      </c>
      <c r="C57" s="21" t="s">
        <v>1</v>
      </c>
      <c r="D57" s="2" t="s">
        <v>3</v>
      </c>
      <c r="E57" s="2" t="s">
        <v>4</v>
      </c>
      <c r="F57" s="2"/>
      <c r="G57" s="6">
        <f>B115</f>
        <v>-2221.5</v>
      </c>
      <c r="H57" s="2"/>
      <c r="I57" s="2"/>
      <c r="J57" s="2"/>
    </row>
    <row r="58" spans="1:10" x14ac:dyDescent="0.3">
      <c r="A58" s="2">
        <v>7</v>
      </c>
      <c r="B58" s="1">
        <v>46154</v>
      </c>
      <c r="C58" s="21" t="s">
        <v>0</v>
      </c>
      <c r="D58" s="2" t="s">
        <v>4</v>
      </c>
      <c r="E58" s="2" t="s">
        <v>3</v>
      </c>
      <c r="F58" s="2"/>
      <c r="G58" s="4">
        <f>B114</f>
        <v>3203.4</v>
      </c>
      <c r="H58" s="2"/>
      <c r="I58" s="2"/>
      <c r="J58" s="2"/>
    </row>
    <row r="59" spans="1:10" x14ac:dyDescent="0.3">
      <c r="A59" s="2">
        <v>8</v>
      </c>
      <c r="B59" s="1">
        <v>46155</v>
      </c>
      <c r="C59" s="21" t="s">
        <v>1</v>
      </c>
      <c r="D59" s="2" t="s">
        <v>3</v>
      </c>
      <c r="E59" s="2" t="s">
        <v>4</v>
      </c>
      <c r="F59" s="2"/>
      <c r="G59" s="6">
        <f>B115</f>
        <v>-2221.5</v>
      </c>
      <c r="H59" s="2"/>
      <c r="I59" s="2"/>
      <c r="J59" s="2"/>
    </row>
    <row r="60" spans="1:10" x14ac:dyDescent="0.3">
      <c r="A60" s="2">
        <v>9</v>
      </c>
      <c r="B60" s="1">
        <v>46156</v>
      </c>
      <c r="C60" s="21" t="s">
        <v>15</v>
      </c>
      <c r="D60" s="2"/>
      <c r="E60" s="2"/>
      <c r="F60" s="2"/>
      <c r="G60" s="4"/>
      <c r="H60" s="2"/>
      <c r="I60" s="2"/>
      <c r="J60" s="2"/>
    </row>
    <row r="61" spans="1:10" x14ac:dyDescent="0.3">
      <c r="A61" s="2">
        <v>10</v>
      </c>
      <c r="B61" s="1">
        <v>46157</v>
      </c>
      <c r="C61" s="21" t="s">
        <v>0</v>
      </c>
      <c r="D61" s="2" t="s">
        <v>4</v>
      </c>
      <c r="E61" s="2" t="s">
        <v>3</v>
      </c>
      <c r="F61" s="2"/>
      <c r="G61" s="4">
        <f>B114</f>
        <v>3203.4</v>
      </c>
      <c r="H61" s="2"/>
      <c r="I61" s="2"/>
      <c r="J61" s="2"/>
    </row>
    <row r="62" spans="1:10" x14ac:dyDescent="0.3">
      <c r="A62" s="2">
        <v>11</v>
      </c>
      <c r="B62" s="1">
        <v>46160</v>
      </c>
      <c r="C62" s="21" t="s">
        <v>1</v>
      </c>
      <c r="D62" s="2" t="s">
        <v>4</v>
      </c>
      <c r="E62" s="2" t="s">
        <v>3</v>
      </c>
      <c r="F62" s="2"/>
      <c r="G62" s="4">
        <f>B114</f>
        <v>3203.4</v>
      </c>
      <c r="H62" s="2"/>
      <c r="I62" s="2"/>
      <c r="J62" s="2"/>
    </row>
    <row r="63" spans="1:10" x14ac:dyDescent="0.3">
      <c r="A63" s="2">
        <v>12</v>
      </c>
      <c r="B63" s="1">
        <v>46161</v>
      </c>
      <c r="C63" s="21" t="s">
        <v>0</v>
      </c>
      <c r="D63" s="2" t="s">
        <v>4</v>
      </c>
      <c r="E63" s="2" t="s">
        <v>3</v>
      </c>
      <c r="F63" s="2"/>
      <c r="G63" s="4">
        <f>B114</f>
        <v>3203.4</v>
      </c>
      <c r="H63" s="2"/>
      <c r="I63" s="2"/>
      <c r="J63" s="2"/>
    </row>
    <row r="64" spans="1:10" x14ac:dyDescent="0.3">
      <c r="A64" s="2">
        <v>13</v>
      </c>
      <c r="B64" s="1">
        <v>46162</v>
      </c>
      <c r="C64" s="21" t="s">
        <v>1</v>
      </c>
      <c r="D64" s="2" t="s">
        <v>4</v>
      </c>
      <c r="E64" s="2" t="s">
        <v>3</v>
      </c>
      <c r="F64" s="2"/>
      <c r="G64" s="4">
        <f>B114</f>
        <v>3203.4</v>
      </c>
      <c r="H64" s="2"/>
      <c r="I64" s="2"/>
      <c r="J64" s="2"/>
    </row>
    <row r="65" spans="1:11" x14ac:dyDescent="0.3">
      <c r="A65" s="2">
        <v>14</v>
      </c>
      <c r="B65" s="1">
        <v>46163</v>
      </c>
      <c r="C65" s="21" t="s">
        <v>0</v>
      </c>
      <c r="D65" s="2" t="s">
        <v>4</v>
      </c>
      <c r="E65" s="2" t="s">
        <v>3</v>
      </c>
      <c r="F65" s="2"/>
      <c r="G65" s="4">
        <f>B114</f>
        <v>3203.4</v>
      </c>
      <c r="H65" s="2"/>
      <c r="I65" s="2"/>
      <c r="J65" s="2"/>
    </row>
    <row r="66" spans="1:11" x14ac:dyDescent="0.3">
      <c r="A66" s="2">
        <v>15</v>
      </c>
      <c r="B66" s="1">
        <v>46164</v>
      </c>
      <c r="C66" s="21" t="s">
        <v>1</v>
      </c>
      <c r="D66" s="2" t="s">
        <v>3</v>
      </c>
      <c r="E66" s="2" t="s">
        <v>4</v>
      </c>
      <c r="F66" s="2"/>
      <c r="G66" s="6">
        <f>B115</f>
        <v>-2221.5</v>
      </c>
      <c r="H66" s="2"/>
      <c r="I66" s="2"/>
      <c r="J66" s="2"/>
    </row>
    <row r="67" spans="1:11" x14ac:dyDescent="0.3">
      <c r="A67" s="2">
        <v>16</v>
      </c>
      <c r="B67" s="1">
        <v>46167</v>
      </c>
      <c r="C67" s="21" t="s">
        <v>1</v>
      </c>
      <c r="D67" s="2" t="s">
        <v>4</v>
      </c>
      <c r="E67" s="2" t="s">
        <v>3</v>
      </c>
      <c r="F67" s="2"/>
      <c r="G67" s="4">
        <f>B114</f>
        <v>3203.4</v>
      </c>
      <c r="H67" s="2"/>
      <c r="I67" s="2"/>
      <c r="J67" s="2"/>
    </row>
    <row r="68" spans="1:11" x14ac:dyDescent="0.3">
      <c r="A68" s="2">
        <v>17</v>
      </c>
      <c r="B68" s="1">
        <v>46168</v>
      </c>
      <c r="C68" s="21" t="s">
        <v>0</v>
      </c>
      <c r="D68" s="2" t="s">
        <v>4</v>
      </c>
      <c r="E68" s="2" t="s">
        <v>3</v>
      </c>
      <c r="F68" s="2"/>
      <c r="G68" s="4">
        <f>B114</f>
        <v>3203.4</v>
      </c>
      <c r="H68" s="2"/>
      <c r="I68" s="2"/>
      <c r="J68" s="2"/>
    </row>
    <row r="69" spans="1:11" x14ac:dyDescent="0.3">
      <c r="A69" s="2">
        <v>18</v>
      </c>
      <c r="B69" s="1">
        <v>46169</v>
      </c>
      <c r="C69" s="21" t="s">
        <v>0</v>
      </c>
      <c r="D69" s="2" t="s">
        <v>4</v>
      </c>
      <c r="E69" s="2" t="s">
        <v>3</v>
      </c>
      <c r="F69" s="2"/>
      <c r="G69" s="4">
        <f>B114</f>
        <v>3203.4</v>
      </c>
      <c r="H69" s="2"/>
      <c r="I69" s="2"/>
      <c r="J69" s="2"/>
    </row>
    <row r="70" spans="1:11" x14ac:dyDescent="0.3">
      <c r="A70" s="2">
        <v>19</v>
      </c>
      <c r="B70" s="1">
        <v>46170</v>
      </c>
      <c r="C70" s="21" t="s">
        <v>0</v>
      </c>
      <c r="D70" s="2" t="s">
        <v>4</v>
      </c>
      <c r="E70" s="2" t="s">
        <v>3</v>
      </c>
      <c r="F70" s="2"/>
      <c r="G70" s="4">
        <f>B114</f>
        <v>3203.4</v>
      </c>
      <c r="H70" s="2"/>
      <c r="I70" s="2"/>
      <c r="J70" s="2"/>
    </row>
    <row r="71" spans="1:11" x14ac:dyDescent="0.3">
      <c r="A71" s="2">
        <v>20</v>
      </c>
      <c r="B71" s="1">
        <v>46171</v>
      </c>
      <c r="C71" s="21" t="s">
        <v>0</v>
      </c>
      <c r="D71" s="2" t="s">
        <v>3</v>
      </c>
      <c r="E71" s="2" t="s">
        <v>4</v>
      </c>
      <c r="F71" s="2"/>
      <c r="G71" s="6">
        <f>B115</f>
        <v>-2221.5</v>
      </c>
      <c r="H71" s="2"/>
      <c r="I71" s="2"/>
      <c r="J71" s="2"/>
    </row>
    <row r="72" spans="1:11" x14ac:dyDescent="0.3">
      <c r="D72" s="2"/>
      <c r="E72" s="2"/>
      <c r="F72" s="2"/>
      <c r="G72" s="2"/>
      <c r="H72" s="2"/>
      <c r="I72" s="2"/>
      <c r="J72" s="2"/>
    </row>
    <row r="73" spans="1:11" ht="15.6" x14ac:dyDescent="0.3">
      <c r="D73" s="2"/>
      <c r="E73" s="2"/>
      <c r="F73" s="2"/>
      <c r="G73" s="7">
        <f>SUM(G52:G72)</f>
        <v>19686.900000000001</v>
      </c>
      <c r="H73" s="2"/>
      <c r="I73" s="4"/>
      <c r="J73" s="2"/>
    </row>
    <row r="74" spans="1:11" x14ac:dyDescent="0.3">
      <c r="D74" s="2"/>
      <c r="E74" s="2"/>
      <c r="F74" s="2"/>
      <c r="G74" s="2"/>
      <c r="H74" s="2"/>
      <c r="I74" s="2"/>
      <c r="J74" s="2"/>
    </row>
    <row r="75" spans="1:11" x14ac:dyDescent="0.3">
      <c r="D75" s="21" t="s">
        <v>2</v>
      </c>
      <c r="E75" s="21" t="s">
        <v>11</v>
      </c>
      <c r="F75" s="2"/>
      <c r="G75" s="4"/>
      <c r="H75" s="2"/>
      <c r="I75" s="4"/>
      <c r="J75" s="4"/>
      <c r="K75" s="5"/>
    </row>
    <row r="76" spans="1:11" x14ac:dyDescent="0.3">
      <c r="B76" s="22">
        <v>46174</v>
      </c>
      <c r="C76" s="19" t="s">
        <v>1</v>
      </c>
      <c r="D76" s="2" t="s">
        <v>3</v>
      </c>
      <c r="E76" s="2" t="s">
        <v>4</v>
      </c>
      <c r="F76" s="2"/>
      <c r="G76" s="6">
        <f>B115</f>
        <v>-2221.5</v>
      </c>
      <c r="H76" s="2"/>
      <c r="I76" s="2"/>
      <c r="J76" s="2"/>
    </row>
    <row r="77" spans="1:11" x14ac:dyDescent="0.3">
      <c r="B77" s="22">
        <v>46175</v>
      </c>
      <c r="C77" s="19" t="s">
        <v>1</v>
      </c>
      <c r="D77" s="2" t="s">
        <v>4</v>
      </c>
      <c r="E77" s="2" t="s">
        <v>3</v>
      </c>
      <c r="F77" s="2"/>
      <c r="G77" s="4">
        <f>B114</f>
        <v>3203.4</v>
      </c>
      <c r="H77" s="2"/>
      <c r="I77" s="2"/>
      <c r="J77" s="2"/>
    </row>
    <row r="78" spans="1:11" x14ac:dyDescent="0.3">
      <c r="B78" s="22">
        <v>46176</v>
      </c>
      <c r="C78" s="19" t="s">
        <v>0</v>
      </c>
      <c r="D78" s="2" t="s">
        <v>4</v>
      </c>
      <c r="E78" s="2" t="s">
        <v>3</v>
      </c>
      <c r="F78" s="2"/>
      <c r="G78" s="4">
        <f>B114</f>
        <v>3203.4</v>
      </c>
      <c r="H78" s="2"/>
      <c r="I78" s="2"/>
      <c r="J78" s="2"/>
    </row>
    <row r="79" spans="1:11" x14ac:dyDescent="0.3">
      <c r="B79" s="22">
        <v>46178</v>
      </c>
      <c r="C79" s="19" t="s">
        <v>0</v>
      </c>
      <c r="D79" s="2" t="s">
        <v>3</v>
      </c>
      <c r="E79" s="2" t="s">
        <v>4</v>
      </c>
      <c r="F79" s="2"/>
      <c r="G79" s="6">
        <f>B115</f>
        <v>-2221.5</v>
      </c>
      <c r="H79" s="2"/>
      <c r="I79" s="2"/>
      <c r="J79" s="2"/>
    </row>
    <row r="80" spans="1:11" x14ac:dyDescent="0.3">
      <c r="B80" s="1">
        <v>46181</v>
      </c>
      <c r="C80" s="19" t="s">
        <v>1</v>
      </c>
      <c r="D80" s="2" t="s">
        <v>4</v>
      </c>
      <c r="E80" s="2" t="s">
        <v>3</v>
      </c>
      <c r="F80" s="2"/>
      <c r="G80" s="4">
        <f>B114</f>
        <v>3203.4</v>
      </c>
      <c r="H80" s="2"/>
      <c r="I80" s="2"/>
      <c r="J80" s="2"/>
    </row>
    <row r="81" spans="2:10" x14ac:dyDescent="0.3">
      <c r="B81" s="1"/>
      <c r="C81" s="19"/>
      <c r="D81" s="2"/>
      <c r="E81" s="2"/>
      <c r="F81" s="2"/>
      <c r="G81" s="2"/>
      <c r="H81" s="2"/>
      <c r="I81" s="2"/>
      <c r="J81" s="2"/>
    </row>
    <row r="82" spans="2:10" x14ac:dyDescent="0.3">
      <c r="B82" s="1"/>
      <c r="C82" s="19"/>
      <c r="D82" s="2"/>
      <c r="E82" s="2"/>
      <c r="F82" s="2"/>
      <c r="G82" s="2"/>
      <c r="H82" s="2"/>
      <c r="I82" s="2"/>
      <c r="J82" s="2"/>
    </row>
    <row r="83" spans="2:10" x14ac:dyDescent="0.3">
      <c r="B83" s="1"/>
      <c r="C83" s="19"/>
      <c r="D83" s="2"/>
      <c r="E83" s="2"/>
      <c r="F83" s="2"/>
      <c r="G83" s="2"/>
      <c r="H83" s="2"/>
      <c r="I83" s="2"/>
      <c r="J83" s="2"/>
    </row>
    <row r="84" spans="2:10" x14ac:dyDescent="0.3">
      <c r="B84" s="1"/>
      <c r="C84" s="19"/>
      <c r="D84" s="2"/>
      <c r="E84" s="2"/>
      <c r="F84" s="2"/>
      <c r="G84" s="2"/>
      <c r="H84" s="2"/>
      <c r="I84" s="2"/>
      <c r="J84" s="2"/>
    </row>
    <row r="85" spans="2:10" x14ac:dyDescent="0.3">
      <c r="B85" s="1"/>
      <c r="C85" s="19"/>
      <c r="D85" s="2"/>
      <c r="E85" s="2"/>
      <c r="F85" s="2"/>
      <c r="G85" s="2"/>
      <c r="H85" s="2"/>
      <c r="I85" s="2"/>
      <c r="J85" s="2"/>
    </row>
    <row r="86" spans="2:10" x14ac:dyDescent="0.3">
      <c r="B86" s="1"/>
      <c r="C86" s="19"/>
      <c r="D86" s="2"/>
      <c r="E86" s="2"/>
      <c r="F86" s="2"/>
      <c r="G86" s="2"/>
      <c r="H86" s="2"/>
      <c r="I86" s="2"/>
      <c r="J86" s="2"/>
    </row>
    <row r="87" spans="2:10" x14ac:dyDescent="0.3">
      <c r="B87" s="1"/>
      <c r="C87" s="19"/>
      <c r="D87" s="2"/>
      <c r="E87" s="2"/>
      <c r="F87" s="2"/>
      <c r="G87" s="2"/>
      <c r="H87" s="2"/>
      <c r="I87" s="2"/>
      <c r="J87" s="2"/>
    </row>
    <row r="88" spans="2:10" x14ac:dyDescent="0.3">
      <c r="B88" s="1"/>
      <c r="C88" s="19"/>
      <c r="D88" s="2"/>
      <c r="E88" s="2"/>
      <c r="F88" s="2"/>
      <c r="G88" s="2"/>
      <c r="H88" s="2"/>
      <c r="I88" s="2"/>
      <c r="J88" s="2"/>
    </row>
    <row r="89" spans="2:10" x14ac:dyDescent="0.3">
      <c r="B89" s="1"/>
      <c r="C89" s="19"/>
      <c r="D89" s="2"/>
      <c r="E89" s="2"/>
      <c r="F89" s="2"/>
      <c r="G89" s="2"/>
      <c r="H89" s="2"/>
      <c r="I89" s="2"/>
      <c r="J89" s="2"/>
    </row>
    <row r="90" spans="2:10" x14ac:dyDescent="0.3">
      <c r="B90" s="1"/>
      <c r="C90" s="19"/>
      <c r="D90" s="2"/>
      <c r="E90" s="2"/>
      <c r="F90" s="2"/>
      <c r="G90" s="2"/>
      <c r="H90" s="2"/>
      <c r="I90" s="2"/>
      <c r="J90" s="2"/>
    </row>
    <row r="91" spans="2:10" x14ac:dyDescent="0.3">
      <c r="B91" s="1"/>
      <c r="C91" s="19"/>
      <c r="D91" s="2"/>
      <c r="E91" s="2"/>
      <c r="F91" s="2"/>
      <c r="G91" s="2"/>
      <c r="H91" s="2"/>
      <c r="I91" s="2"/>
      <c r="J91" s="2"/>
    </row>
    <row r="92" spans="2:10" x14ac:dyDescent="0.3">
      <c r="B92" s="1"/>
      <c r="C92" s="19"/>
      <c r="D92" s="2"/>
      <c r="E92" s="2"/>
      <c r="F92" s="2"/>
      <c r="G92" s="2"/>
      <c r="H92" s="2"/>
      <c r="I92" s="2"/>
      <c r="J92" s="2"/>
    </row>
    <row r="93" spans="2:10" x14ac:dyDescent="0.3">
      <c r="B93" s="1"/>
      <c r="C93" s="19"/>
      <c r="D93" s="2"/>
      <c r="E93" s="2"/>
      <c r="F93" s="2"/>
      <c r="G93" s="2"/>
      <c r="H93" s="2"/>
      <c r="I93" s="2"/>
      <c r="J93" s="2"/>
    </row>
    <row r="94" spans="2:10" x14ac:dyDescent="0.3">
      <c r="B94" s="1"/>
      <c r="C94" s="19"/>
      <c r="D94" s="2"/>
      <c r="E94" s="2"/>
      <c r="F94" s="2"/>
      <c r="G94" s="2"/>
      <c r="H94" s="2"/>
      <c r="I94" s="2"/>
      <c r="J94" s="2"/>
    </row>
    <row r="95" spans="2:10" x14ac:dyDescent="0.3">
      <c r="B95" s="1"/>
      <c r="C95" s="19"/>
      <c r="D95" s="2"/>
      <c r="E95" s="2"/>
      <c r="F95" s="2"/>
      <c r="G95" s="2"/>
      <c r="H95" s="2"/>
      <c r="I95" s="2"/>
      <c r="J95" s="2"/>
    </row>
    <row r="96" spans="2:10" x14ac:dyDescent="0.3">
      <c r="B96" s="1"/>
      <c r="C96" s="19"/>
      <c r="D96" s="2"/>
      <c r="E96" s="2"/>
      <c r="F96" s="2"/>
      <c r="G96" s="2"/>
      <c r="H96" s="2"/>
      <c r="I96" s="2"/>
      <c r="J96" s="2"/>
    </row>
    <row r="97" spans="1:12" x14ac:dyDescent="0.3">
      <c r="B97" s="1"/>
      <c r="C97" s="19"/>
      <c r="D97" s="2"/>
      <c r="E97" s="2"/>
      <c r="F97" s="2"/>
      <c r="G97" s="2"/>
      <c r="H97" s="2"/>
      <c r="I97" s="2"/>
      <c r="J97" s="2"/>
    </row>
    <row r="98" spans="1:12" x14ac:dyDescent="0.3">
      <c r="B98" s="1"/>
      <c r="C98" s="19"/>
      <c r="D98" s="2"/>
      <c r="E98" s="2"/>
      <c r="F98" s="2"/>
      <c r="G98" s="2"/>
      <c r="H98" s="2"/>
      <c r="I98" s="2"/>
      <c r="J98" s="2"/>
    </row>
    <row r="99" spans="1:12" x14ac:dyDescent="0.3">
      <c r="D99" s="2"/>
      <c r="E99" s="2"/>
      <c r="F99" s="2"/>
      <c r="G99" s="2"/>
      <c r="H99" s="2"/>
      <c r="I99" s="2"/>
      <c r="J99" s="2"/>
    </row>
    <row r="100" spans="1:12" x14ac:dyDescent="0.3">
      <c r="D100" s="2"/>
      <c r="E100" s="2"/>
      <c r="F100" s="2"/>
      <c r="G100" s="2"/>
      <c r="H100" s="2"/>
      <c r="I100" s="2"/>
      <c r="J100" s="2"/>
    </row>
    <row r="101" spans="1:12" ht="15.6" x14ac:dyDescent="0.3">
      <c r="D101" s="2"/>
      <c r="E101" s="2"/>
      <c r="F101" s="2"/>
      <c r="G101" s="27">
        <f>SUM(G76:G100)</f>
        <v>5167.2000000000007</v>
      </c>
      <c r="H101" s="2"/>
      <c r="I101" s="2"/>
      <c r="J101" s="2"/>
    </row>
    <row r="110" spans="1:12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3">
      <c r="A111" s="2" t="s">
        <v>6</v>
      </c>
      <c r="B111" s="2">
        <v>30</v>
      </c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3">
      <c r="A112" s="29" t="s">
        <v>41</v>
      </c>
      <c r="B112" s="6">
        <v>-74.05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3">
      <c r="A113" s="2" t="s">
        <v>42</v>
      </c>
      <c r="B113" s="4">
        <v>106.78</v>
      </c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3">
      <c r="A114" s="2" t="s">
        <v>39</v>
      </c>
      <c r="B114" s="4">
        <f>B111*B113</f>
        <v>3203.4</v>
      </c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3">
      <c r="A115" s="2" t="s">
        <v>40</v>
      </c>
      <c r="B115" s="6">
        <f>B111*B112</f>
        <v>-2221.5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3">
      <c r="A120" s="2" t="s">
        <v>43</v>
      </c>
      <c r="B120" s="4">
        <f>G101+G73+G49+G25</f>
        <v>52138.500000000015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2E2EF-1101-4A17-8851-DBDA9BC960F2}">
  <dimension ref="A2:L87"/>
  <sheetViews>
    <sheetView tabSelected="1" topLeftCell="A62" workbookViewId="0">
      <selection activeCell="B87" sqref="B87"/>
    </sheetView>
  </sheetViews>
  <sheetFormatPr defaultRowHeight="14.4" x14ac:dyDescent="0.3"/>
  <cols>
    <col min="1" max="1" width="10.44140625" bestFit="1" customWidth="1"/>
    <col min="2" max="2" width="11.5546875" bestFit="1" customWidth="1"/>
    <col min="3" max="3" width="10.6640625" bestFit="1" customWidth="1"/>
    <col min="6" max="6" width="9.88671875" bestFit="1" customWidth="1"/>
    <col min="7" max="7" width="13.44140625" bestFit="1" customWidth="1"/>
    <col min="12" max="12" width="11.21875" bestFit="1" customWidth="1"/>
  </cols>
  <sheetData>
    <row r="2" spans="1:12" x14ac:dyDescent="0.3">
      <c r="B2" t="s">
        <v>46</v>
      </c>
      <c r="D2" t="s">
        <v>47</v>
      </c>
      <c r="L2" s="4">
        <f>B8*C4*0.2</f>
        <v>3750</v>
      </c>
    </row>
    <row r="3" spans="1:12" x14ac:dyDescent="0.3">
      <c r="B3" t="s">
        <v>44</v>
      </c>
      <c r="C3">
        <v>500</v>
      </c>
      <c r="L3" s="6">
        <f>-B8*C3*0.2</f>
        <v>-2500</v>
      </c>
    </row>
    <row r="4" spans="1:12" x14ac:dyDescent="0.3">
      <c r="B4" t="s">
        <v>45</v>
      </c>
      <c r="C4">
        <v>750</v>
      </c>
      <c r="L4" s="4">
        <f>B8*10*0.2</f>
        <v>50</v>
      </c>
    </row>
    <row r="5" spans="1:12" x14ac:dyDescent="0.3">
      <c r="B5" t="s">
        <v>48</v>
      </c>
      <c r="C5">
        <v>480</v>
      </c>
      <c r="D5" t="s">
        <v>49</v>
      </c>
    </row>
    <row r="8" spans="1:12" x14ac:dyDescent="0.3">
      <c r="A8" s="21" t="s">
        <v>6</v>
      </c>
      <c r="B8" s="21">
        <v>25</v>
      </c>
      <c r="C8" s="20"/>
      <c r="D8" s="20"/>
      <c r="E8" s="20"/>
      <c r="F8" s="20"/>
      <c r="G8" s="20"/>
    </row>
    <row r="9" spans="1:12" x14ac:dyDescent="0.3">
      <c r="A9" s="32" t="s">
        <v>8</v>
      </c>
      <c r="B9" s="32"/>
      <c r="C9" s="32"/>
      <c r="D9" s="21" t="s">
        <v>2</v>
      </c>
      <c r="E9" s="21" t="s">
        <v>7</v>
      </c>
      <c r="F9" s="21" t="s">
        <v>11</v>
      </c>
      <c r="G9" s="21"/>
    </row>
    <row r="10" spans="1:12" x14ac:dyDescent="0.3">
      <c r="A10" s="21"/>
      <c r="B10" s="21"/>
      <c r="C10" s="21"/>
      <c r="D10" s="21"/>
      <c r="E10" s="21"/>
      <c r="F10" s="21"/>
      <c r="G10" s="21"/>
    </row>
    <row r="11" spans="1:12" x14ac:dyDescent="0.3">
      <c r="A11" s="21">
        <v>1</v>
      </c>
      <c r="B11" s="22">
        <v>46085</v>
      </c>
      <c r="C11" s="21" t="s">
        <v>0</v>
      </c>
      <c r="D11" s="21" t="s">
        <v>4</v>
      </c>
      <c r="E11" s="21" t="s">
        <v>3</v>
      </c>
      <c r="F11" s="21" t="s">
        <v>3</v>
      </c>
      <c r="G11" s="23">
        <f>L2</f>
        <v>3750</v>
      </c>
    </row>
    <row r="12" spans="1:12" x14ac:dyDescent="0.3">
      <c r="A12" s="21">
        <v>2</v>
      </c>
      <c r="B12" s="22">
        <v>46086</v>
      </c>
      <c r="C12" s="21" t="s">
        <v>0</v>
      </c>
      <c r="D12" s="21" t="s">
        <v>4</v>
      </c>
      <c r="E12" s="21" t="s">
        <v>3</v>
      </c>
      <c r="F12" s="21" t="s">
        <v>3</v>
      </c>
      <c r="G12" s="23">
        <f>L2</f>
        <v>3750</v>
      </c>
    </row>
    <row r="13" spans="1:12" x14ac:dyDescent="0.3">
      <c r="A13" s="21">
        <v>3</v>
      </c>
      <c r="B13" s="22">
        <v>46087</v>
      </c>
      <c r="C13" s="21" t="s">
        <v>0</v>
      </c>
      <c r="D13" s="21" t="s">
        <v>4</v>
      </c>
      <c r="E13" s="21" t="s">
        <v>3</v>
      </c>
      <c r="F13" s="21" t="s">
        <v>3</v>
      </c>
      <c r="G13" s="23">
        <f>L2</f>
        <v>3750</v>
      </c>
    </row>
    <row r="14" spans="1:12" x14ac:dyDescent="0.3">
      <c r="A14" s="21">
        <v>4</v>
      </c>
      <c r="B14" s="22">
        <v>46090</v>
      </c>
      <c r="C14" s="21" t="s">
        <v>0</v>
      </c>
      <c r="D14" s="21" t="s">
        <v>4</v>
      </c>
      <c r="E14" s="21" t="s">
        <v>3</v>
      </c>
      <c r="F14" s="21" t="s">
        <v>3</v>
      </c>
      <c r="G14" s="23">
        <f>L2</f>
        <v>3750</v>
      </c>
    </row>
    <row r="15" spans="1:12" x14ac:dyDescent="0.3">
      <c r="A15" s="21">
        <v>5</v>
      </c>
      <c r="B15" s="22">
        <v>46091</v>
      </c>
      <c r="C15" s="21" t="s">
        <v>1</v>
      </c>
      <c r="D15" s="21" t="s">
        <v>3</v>
      </c>
      <c r="E15" s="21" t="s">
        <v>4</v>
      </c>
      <c r="F15" s="21" t="s">
        <v>4</v>
      </c>
      <c r="G15" s="25">
        <f>L3</f>
        <v>-2500</v>
      </c>
    </row>
    <row r="16" spans="1:12" x14ac:dyDescent="0.3">
      <c r="A16" s="21">
        <v>6</v>
      </c>
      <c r="B16" s="22">
        <v>46092</v>
      </c>
      <c r="C16" s="21" t="s">
        <v>1</v>
      </c>
      <c r="D16" s="21" t="s">
        <v>4</v>
      </c>
      <c r="E16" s="21" t="s">
        <v>3</v>
      </c>
      <c r="F16" s="21" t="s">
        <v>3</v>
      </c>
      <c r="G16" s="23">
        <f>L2</f>
        <v>3750</v>
      </c>
    </row>
    <row r="17" spans="1:7" x14ac:dyDescent="0.3">
      <c r="A17" s="21">
        <v>7</v>
      </c>
      <c r="B17" s="22">
        <v>46093</v>
      </c>
      <c r="C17" s="21" t="s">
        <v>1</v>
      </c>
      <c r="D17" s="21" t="s">
        <v>3</v>
      </c>
      <c r="E17" s="21" t="s">
        <v>4</v>
      </c>
      <c r="F17" s="21" t="s">
        <v>4</v>
      </c>
      <c r="G17" s="25">
        <f>L3</f>
        <v>-2500</v>
      </c>
    </row>
    <row r="18" spans="1:7" x14ac:dyDescent="0.3">
      <c r="A18" s="21">
        <v>8</v>
      </c>
      <c r="B18" s="22">
        <v>46094</v>
      </c>
      <c r="C18" s="21" t="s">
        <v>1</v>
      </c>
      <c r="D18" s="21" t="s">
        <v>4</v>
      </c>
      <c r="E18" s="21" t="s">
        <v>3</v>
      </c>
      <c r="F18" s="21" t="s">
        <v>4</v>
      </c>
      <c r="G18" s="23">
        <f>L4</f>
        <v>50</v>
      </c>
    </row>
    <row r="19" spans="1:7" x14ac:dyDescent="0.3">
      <c r="A19" s="21">
        <v>9</v>
      </c>
      <c r="B19" s="21" t="s">
        <v>14</v>
      </c>
      <c r="C19" s="21" t="s">
        <v>0</v>
      </c>
      <c r="D19" s="21" t="s">
        <v>4</v>
      </c>
      <c r="E19" s="21" t="s">
        <v>3</v>
      </c>
      <c r="F19" s="21" t="s">
        <v>3</v>
      </c>
      <c r="G19" s="23">
        <f>L2</f>
        <v>3750</v>
      </c>
    </row>
    <row r="20" spans="1:7" x14ac:dyDescent="0.3">
      <c r="A20" s="21">
        <v>10</v>
      </c>
      <c r="B20" s="22">
        <v>46098</v>
      </c>
      <c r="C20" s="21" t="s">
        <v>1</v>
      </c>
      <c r="D20" s="21" t="s">
        <v>3</v>
      </c>
      <c r="E20" s="21" t="s">
        <v>4</v>
      </c>
      <c r="F20" s="21" t="s">
        <v>4</v>
      </c>
      <c r="G20" s="25">
        <f>L3</f>
        <v>-2500</v>
      </c>
    </row>
    <row r="21" spans="1:7" x14ac:dyDescent="0.3">
      <c r="A21" s="21">
        <v>11</v>
      </c>
      <c r="B21" s="22">
        <v>46099</v>
      </c>
      <c r="C21" s="21" t="s">
        <v>1</v>
      </c>
      <c r="D21" s="21" t="s">
        <v>4</v>
      </c>
      <c r="E21" s="21" t="s">
        <v>3</v>
      </c>
      <c r="F21" s="21" t="s">
        <v>3</v>
      </c>
      <c r="G21" s="23">
        <f>L2</f>
        <v>3750</v>
      </c>
    </row>
    <row r="22" spans="1:7" x14ac:dyDescent="0.3">
      <c r="A22" s="21">
        <v>12</v>
      </c>
      <c r="B22" s="22">
        <v>46100</v>
      </c>
      <c r="C22" s="21" t="s">
        <v>1</v>
      </c>
      <c r="D22" s="21" t="s">
        <v>4</v>
      </c>
      <c r="E22" s="21" t="s">
        <v>3</v>
      </c>
      <c r="F22" s="21" t="s">
        <v>3</v>
      </c>
      <c r="G22" s="23">
        <f>L2</f>
        <v>3750</v>
      </c>
    </row>
    <row r="23" spans="1:7" x14ac:dyDescent="0.3">
      <c r="A23" s="21">
        <v>13</v>
      </c>
      <c r="B23" s="22">
        <v>46101</v>
      </c>
      <c r="C23" s="21" t="s">
        <v>0</v>
      </c>
      <c r="D23" s="21" t="s">
        <v>4</v>
      </c>
      <c r="E23" s="21" t="s">
        <v>3</v>
      </c>
      <c r="F23" s="21" t="s">
        <v>4</v>
      </c>
      <c r="G23" s="23">
        <f>L4</f>
        <v>50</v>
      </c>
    </row>
    <row r="24" spans="1:7" x14ac:dyDescent="0.3">
      <c r="A24" s="21">
        <v>14</v>
      </c>
      <c r="B24" s="22">
        <v>46104</v>
      </c>
      <c r="C24" s="21" t="s">
        <v>0</v>
      </c>
      <c r="D24" s="21" t="s">
        <v>3</v>
      </c>
      <c r="E24" s="21" t="s">
        <v>4</v>
      </c>
      <c r="F24" s="21" t="s">
        <v>4</v>
      </c>
      <c r="G24" s="25">
        <f>L3</f>
        <v>-2500</v>
      </c>
    </row>
    <row r="25" spans="1:7" x14ac:dyDescent="0.3">
      <c r="A25" s="21">
        <v>15</v>
      </c>
      <c r="B25" s="22">
        <v>46105</v>
      </c>
      <c r="C25" s="21" t="s">
        <v>1</v>
      </c>
      <c r="D25" s="21" t="s">
        <v>3</v>
      </c>
      <c r="E25" s="21" t="s">
        <v>4</v>
      </c>
      <c r="F25" s="21" t="s">
        <v>4</v>
      </c>
      <c r="G25" s="25">
        <f>L3</f>
        <v>-2500</v>
      </c>
    </row>
    <row r="26" spans="1:7" x14ac:dyDescent="0.3">
      <c r="A26" s="21">
        <v>16</v>
      </c>
      <c r="B26" s="22">
        <v>46106</v>
      </c>
      <c r="C26" s="21" t="s">
        <v>1</v>
      </c>
      <c r="D26" s="21" t="s">
        <v>4</v>
      </c>
      <c r="E26" s="21" t="s">
        <v>3</v>
      </c>
      <c r="F26" s="21" t="s">
        <v>3</v>
      </c>
      <c r="G26" s="23">
        <f>L2</f>
        <v>3750</v>
      </c>
    </row>
    <row r="27" spans="1:7" x14ac:dyDescent="0.3">
      <c r="A27" s="21">
        <v>17</v>
      </c>
      <c r="B27" s="22">
        <v>46107</v>
      </c>
      <c r="C27" s="21" t="s">
        <v>1</v>
      </c>
      <c r="D27" s="21" t="s">
        <v>4</v>
      </c>
      <c r="E27" s="21" t="s">
        <v>3</v>
      </c>
      <c r="F27" s="21" t="s">
        <v>3</v>
      </c>
      <c r="G27" s="23">
        <f>L2</f>
        <v>3750</v>
      </c>
    </row>
    <row r="28" spans="1:7" x14ac:dyDescent="0.3">
      <c r="A28" s="21">
        <v>18</v>
      </c>
      <c r="B28" s="22">
        <v>46108</v>
      </c>
      <c r="C28" s="21" t="s">
        <v>0</v>
      </c>
      <c r="D28" s="21" t="s">
        <v>3</v>
      </c>
      <c r="E28" s="21" t="s">
        <v>4</v>
      </c>
      <c r="F28" s="21" t="s">
        <v>4</v>
      </c>
      <c r="G28" s="25">
        <f>L3</f>
        <v>-2500</v>
      </c>
    </row>
    <row r="29" spans="1:7" x14ac:dyDescent="0.3">
      <c r="A29" s="21">
        <v>19</v>
      </c>
      <c r="B29" s="22">
        <v>46111</v>
      </c>
      <c r="C29" s="21" t="s">
        <v>0</v>
      </c>
      <c r="D29" s="21" t="s">
        <v>4</v>
      </c>
      <c r="E29" s="21" t="s">
        <v>3</v>
      </c>
      <c r="F29" s="21" t="s">
        <v>3</v>
      </c>
      <c r="G29" s="23">
        <f>L2</f>
        <v>3750</v>
      </c>
    </row>
    <row r="30" spans="1:7" x14ac:dyDescent="0.3">
      <c r="A30" s="21">
        <v>20</v>
      </c>
      <c r="B30" s="22">
        <v>46112</v>
      </c>
      <c r="C30" s="21" t="s">
        <v>0</v>
      </c>
      <c r="D30" s="21" t="s">
        <v>4</v>
      </c>
      <c r="E30" s="21" t="s">
        <v>3</v>
      </c>
      <c r="F30" s="21" t="s">
        <v>3</v>
      </c>
      <c r="G30" s="23">
        <f>L2</f>
        <v>3750</v>
      </c>
    </row>
    <row r="31" spans="1:7" x14ac:dyDescent="0.3">
      <c r="A31" s="21"/>
      <c r="B31" s="22"/>
      <c r="C31" s="21"/>
      <c r="D31" s="21"/>
      <c r="E31" s="21"/>
      <c r="F31" s="21"/>
      <c r="G31" s="23"/>
    </row>
    <row r="32" spans="1:7" ht="15.6" x14ac:dyDescent="0.3">
      <c r="A32" s="21"/>
      <c r="B32" s="21"/>
      <c r="C32" s="21"/>
      <c r="D32" s="21"/>
      <c r="E32" s="21"/>
      <c r="F32" s="21"/>
      <c r="G32" s="7">
        <f>SUM(G11:G29)</f>
        <v>26350</v>
      </c>
    </row>
    <row r="33" spans="1:7" x14ac:dyDescent="0.3">
      <c r="A33" s="21"/>
      <c r="B33" s="21"/>
      <c r="C33" s="21"/>
      <c r="D33" s="21"/>
      <c r="E33" s="21"/>
      <c r="F33" s="21"/>
      <c r="G33" s="23"/>
    </row>
    <row r="34" spans="1:7" x14ac:dyDescent="0.3">
      <c r="A34" s="21"/>
      <c r="B34" s="21"/>
      <c r="C34" s="21"/>
      <c r="D34" s="21" t="s">
        <v>2</v>
      </c>
      <c r="E34" s="21" t="s">
        <v>7</v>
      </c>
      <c r="F34" s="21" t="s">
        <v>11</v>
      </c>
      <c r="G34" s="23"/>
    </row>
    <row r="35" spans="1:7" x14ac:dyDescent="0.3">
      <c r="A35" s="21">
        <v>1</v>
      </c>
      <c r="B35" s="22">
        <v>46122</v>
      </c>
      <c r="C35" s="21" t="s">
        <v>0</v>
      </c>
      <c r="D35" s="21" t="s">
        <v>4</v>
      </c>
      <c r="E35" s="21" t="s">
        <v>3</v>
      </c>
      <c r="F35" s="21" t="s">
        <v>3</v>
      </c>
      <c r="G35" s="23">
        <f>L2</f>
        <v>3750</v>
      </c>
    </row>
    <row r="36" spans="1:7" x14ac:dyDescent="0.3">
      <c r="A36" s="21">
        <v>2</v>
      </c>
      <c r="B36" s="22">
        <v>46127</v>
      </c>
      <c r="C36" s="21" t="s">
        <v>1</v>
      </c>
      <c r="D36" s="21" t="s">
        <v>3</v>
      </c>
      <c r="E36" s="21" t="s">
        <v>4</v>
      </c>
      <c r="F36" s="21" t="s">
        <v>4</v>
      </c>
      <c r="G36" s="25">
        <f>L3</f>
        <v>-2500</v>
      </c>
    </row>
    <row r="37" spans="1:7" x14ac:dyDescent="0.3">
      <c r="A37" s="21">
        <v>3</v>
      </c>
      <c r="B37" s="22">
        <v>46129</v>
      </c>
      <c r="C37" s="21" t="s">
        <v>1</v>
      </c>
      <c r="D37" s="21" t="s">
        <v>3</v>
      </c>
      <c r="E37" s="21" t="s">
        <v>4</v>
      </c>
      <c r="F37" s="21" t="s">
        <v>4</v>
      </c>
      <c r="G37" s="25">
        <f>L3</f>
        <v>-2500</v>
      </c>
    </row>
    <row r="38" spans="1:7" x14ac:dyDescent="0.3">
      <c r="A38" s="21">
        <v>4</v>
      </c>
      <c r="B38" s="22">
        <v>46134</v>
      </c>
      <c r="C38" s="21" t="s">
        <v>1</v>
      </c>
      <c r="D38" s="21" t="s">
        <v>3</v>
      </c>
      <c r="E38" s="21" t="s">
        <v>4</v>
      </c>
      <c r="F38" s="21" t="s">
        <v>4</v>
      </c>
      <c r="G38" s="25">
        <f>L3</f>
        <v>-2500</v>
      </c>
    </row>
    <row r="39" spans="1:7" x14ac:dyDescent="0.3">
      <c r="A39" s="21">
        <v>5</v>
      </c>
      <c r="B39" s="22">
        <v>46135</v>
      </c>
      <c r="C39" s="21" t="s">
        <v>0</v>
      </c>
      <c r="D39" s="21" t="s">
        <v>4</v>
      </c>
      <c r="E39" s="21" t="s">
        <v>3</v>
      </c>
      <c r="F39" s="21" t="s">
        <v>4</v>
      </c>
      <c r="G39" s="23">
        <f>L4</f>
        <v>50</v>
      </c>
    </row>
    <row r="40" spans="1:7" x14ac:dyDescent="0.3">
      <c r="A40" s="21">
        <v>6</v>
      </c>
      <c r="B40" s="22">
        <v>46139</v>
      </c>
      <c r="C40" s="21" t="s">
        <v>1</v>
      </c>
      <c r="D40" s="21" t="s">
        <v>4</v>
      </c>
      <c r="E40" s="21" t="s">
        <v>3</v>
      </c>
      <c r="F40" s="21" t="s">
        <v>4</v>
      </c>
      <c r="G40" s="23">
        <f>L4</f>
        <v>50</v>
      </c>
    </row>
    <row r="41" spans="1:7" x14ac:dyDescent="0.3">
      <c r="A41" s="21">
        <v>7</v>
      </c>
      <c r="B41" s="22">
        <v>46140</v>
      </c>
      <c r="C41" s="21" t="s">
        <v>1</v>
      </c>
      <c r="D41" s="21" t="s">
        <v>4</v>
      </c>
      <c r="E41" s="21" t="s">
        <v>3</v>
      </c>
      <c r="F41" s="21" t="s">
        <v>3</v>
      </c>
      <c r="G41" s="23">
        <f>L2</f>
        <v>3750</v>
      </c>
    </row>
    <row r="42" spans="1:7" x14ac:dyDescent="0.3">
      <c r="A42" s="21">
        <v>8</v>
      </c>
      <c r="B42" s="22">
        <v>46141</v>
      </c>
      <c r="C42" s="21" t="s">
        <v>1</v>
      </c>
      <c r="D42" s="21" t="s">
        <v>4</v>
      </c>
      <c r="E42" s="21" t="s">
        <v>3</v>
      </c>
      <c r="F42" s="21" t="s">
        <v>3</v>
      </c>
      <c r="G42" s="23">
        <f>L2</f>
        <v>3750</v>
      </c>
    </row>
    <row r="43" spans="1:7" ht="15.6" x14ac:dyDescent="0.3">
      <c r="A43" s="21"/>
      <c r="B43" s="22"/>
      <c r="C43" s="21"/>
      <c r="D43" s="21"/>
      <c r="E43" s="21"/>
      <c r="F43" s="21"/>
      <c r="G43" s="7">
        <f>SUM(G35:G42)</f>
        <v>3850</v>
      </c>
    </row>
    <row r="44" spans="1:7" x14ac:dyDescent="0.3">
      <c r="A44" s="21"/>
      <c r="B44" s="22"/>
      <c r="C44" s="21"/>
      <c r="D44" s="21"/>
      <c r="E44" s="21"/>
      <c r="F44" s="21"/>
      <c r="G44" s="23"/>
    </row>
    <row r="45" spans="1:7" x14ac:dyDescent="0.3">
      <c r="A45" s="21"/>
      <c r="B45" s="22"/>
      <c r="C45" s="21"/>
      <c r="D45" s="21" t="s">
        <v>2</v>
      </c>
      <c r="E45" s="21" t="s">
        <v>7</v>
      </c>
      <c r="F45" s="21" t="s">
        <v>11</v>
      </c>
      <c r="G45" s="23"/>
    </row>
    <row r="46" spans="1:7" x14ac:dyDescent="0.3">
      <c r="A46" s="21">
        <v>1</v>
      </c>
      <c r="B46" s="22">
        <v>46146</v>
      </c>
      <c r="C46" s="21" t="s">
        <v>21</v>
      </c>
      <c r="D46" s="21" t="s">
        <v>3</v>
      </c>
      <c r="E46" s="21" t="s">
        <v>4</v>
      </c>
      <c r="F46" s="21" t="s">
        <v>4</v>
      </c>
      <c r="G46" s="25">
        <f>L3</f>
        <v>-2500</v>
      </c>
    </row>
    <row r="47" spans="1:7" x14ac:dyDescent="0.3">
      <c r="A47" s="21">
        <v>2</v>
      </c>
      <c r="B47" s="22">
        <v>46149</v>
      </c>
      <c r="C47" s="21" t="s">
        <v>1</v>
      </c>
      <c r="D47" s="21" t="s">
        <v>4</v>
      </c>
      <c r="E47" s="21" t="s">
        <v>3</v>
      </c>
      <c r="F47" s="21" t="s">
        <v>3</v>
      </c>
      <c r="G47" s="23">
        <f>L2</f>
        <v>3750</v>
      </c>
    </row>
    <row r="48" spans="1:7" x14ac:dyDescent="0.3">
      <c r="A48" s="21">
        <v>3</v>
      </c>
      <c r="B48" s="22">
        <v>46150</v>
      </c>
      <c r="C48" s="21" t="s">
        <v>21</v>
      </c>
      <c r="D48" s="21" t="s">
        <v>4</v>
      </c>
      <c r="E48" s="21" t="s">
        <v>3</v>
      </c>
      <c r="F48" s="21" t="s">
        <v>3</v>
      </c>
      <c r="G48" s="23">
        <f>L2</f>
        <v>3750</v>
      </c>
    </row>
    <row r="49" spans="1:7" x14ac:dyDescent="0.3">
      <c r="A49" s="21">
        <v>4</v>
      </c>
      <c r="B49" s="22">
        <v>46154</v>
      </c>
      <c r="C49" s="21" t="s">
        <v>1</v>
      </c>
      <c r="D49" s="21" t="s">
        <v>4</v>
      </c>
      <c r="E49" s="21" t="s">
        <v>3</v>
      </c>
      <c r="F49" s="21" t="s">
        <v>3</v>
      </c>
      <c r="G49" s="23">
        <f>L2</f>
        <v>3750</v>
      </c>
    </row>
    <row r="50" spans="1:7" x14ac:dyDescent="0.3">
      <c r="A50" s="21">
        <v>5</v>
      </c>
      <c r="B50" s="22">
        <v>46157</v>
      </c>
      <c r="C50" s="21" t="s">
        <v>1</v>
      </c>
      <c r="D50" s="21" t="s">
        <v>4</v>
      </c>
      <c r="E50" s="21" t="s">
        <v>3</v>
      </c>
      <c r="F50" s="21" t="s">
        <v>3</v>
      </c>
      <c r="G50" s="23">
        <f>L2</f>
        <v>3750</v>
      </c>
    </row>
    <row r="51" spans="1:7" x14ac:dyDescent="0.3">
      <c r="A51" s="21">
        <v>6</v>
      </c>
      <c r="B51" s="22">
        <v>46161</v>
      </c>
      <c r="C51" s="21" t="s">
        <v>1</v>
      </c>
      <c r="D51" s="21" t="s">
        <v>4</v>
      </c>
      <c r="E51" s="21" t="s">
        <v>3</v>
      </c>
      <c r="F51" s="21" t="s">
        <v>3</v>
      </c>
      <c r="G51" s="23">
        <f>L2</f>
        <v>3750</v>
      </c>
    </row>
    <row r="52" spans="1:7" x14ac:dyDescent="0.3">
      <c r="A52" s="21">
        <v>7</v>
      </c>
      <c r="B52" s="22">
        <v>46162</v>
      </c>
      <c r="C52" s="21" t="s">
        <v>21</v>
      </c>
      <c r="D52" s="21" t="s">
        <v>4</v>
      </c>
      <c r="E52" s="21" t="s">
        <v>3</v>
      </c>
      <c r="F52" s="21" t="s">
        <v>3</v>
      </c>
      <c r="G52" s="23">
        <f>L2</f>
        <v>3750</v>
      </c>
    </row>
    <row r="53" spans="1:7" x14ac:dyDescent="0.3">
      <c r="A53" s="21">
        <v>8</v>
      </c>
      <c r="B53" s="22">
        <v>46163</v>
      </c>
      <c r="C53" s="21" t="s">
        <v>1</v>
      </c>
      <c r="D53" s="21" t="s">
        <v>4</v>
      </c>
      <c r="E53" s="21" t="s">
        <v>3</v>
      </c>
      <c r="F53" s="21" t="s">
        <v>4</v>
      </c>
      <c r="G53" s="23">
        <f>L4</f>
        <v>50</v>
      </c>
    </row>
    <row r="54" spans="1:7" x14ac:dyDescent="0.3">
      <c r="A54" s="21">
        <v>9</v>
      </c>
      <c r="B54" s="22">
        <v>46164</v>
      </c>
      <c r="C54" s="21" t="s">
        <v>21</v>
      </c>
      <c r="D54" s="21" t="s">
        <v>3</v>
      </c>
      <c r="E54" s="21" t="s">
        <v>4</v>
      </c>
      <c r="F54" s="21" t="s">
        <v>4</v>
      </c>
      <c r="G54" s="25">
        <f>L3</f>
        <v>-2500</v>
      </c>
    </row>
    <row r="55" spans="1:7" x14ac:dyDescent="0.3">
      <c r="A55" s="21">
        <v>10</v>
      </c>
      <c r="B55" s="22">
        <v>46167</v>
      </c>
      <c r="C55" s="21" t="s">
        <v>1</v>
      </c>
      <c r="D55" s="21" t="s">
        <v>4</v>
      </c>
      <c r="E55" s="21" t="s">
        <v>3</v>
      </c>
      <c r="F55" s="21" t="s">
        <v>4</v>
      </c>
      <c r="G55" s="23">
        <f>L4</f>
        <v>50</v>
      </c>
    </row>
    <row r="56" spans="1:7" x14ac:dyDescent="0.3">
      <c r="A56" s="21">
        <v>11</v>
      </c>
      <c r="B56" s="22">
        <v>46168</v>
      </c>
      <c r="C56" s="21" t="s">
        <v>21</v>
      </c>
      <c r="D56" s="21" t="s">
        <v>3</v>
      </c>
      <c r="E56" s="21" t="s">
        <v>4</v>
      </c>
      <c r="F56" s="21" t="s">
        <v>4</v>
      </c>
      <c r="G56" s="25">
        <f>L3</f>
        <v>-2500</v>
      </c>
    </row>
    <row r="57" spans="1:7" x14ac:dyDescent="0.3">
      <c r="A57" s="21">
        <v>12</v>
      </c>
      <c r="B57" s="22">
        <v>46169</v>
      </c>
      <c r="C57" s="21" t="s">
        <v>21</v>
      </c>
      <c r="D57" s="21" t="s">
        <v>4</v>
      </c>
      <c r="E57" s="21" t="s">
        <v>3</v>
      </c>
      <c r="F57" s="21" t="s">
        <v>3</v>
      </c>
      <c r="G57" s="23">
        <f>L2</f>
        <v>3750</v>
      </c>
    </row>
    <row r="58" spans="1:7" x14ac:dyDescent="0.3">
      <c r="A58" s="21">
        <v>13</v>
      </c>
      <c r="B58" s="22">
        <v>46170</v>
      </c>
      <c r="C58" s="21" t="s">
        <v>21</v>
      </c>
      <c r="D58" s="21" t="s">
        <v>4</v>
      </c>
      <c r="E58" s="21" t="s">
        <v>3</v>
      </c>
      <c r="F58" s="21" t="s">
        <v>3</v>
      </c>
      <c r="G58" s="23">
        <f>L2</f>
        <v>3750</v>
      </c>
    </row>
    <row r="59" spans="1:7" x14ac:dyDescent="0.3">
      <c r="A59" s="21">
        <v>14</v>
      </c>
      <c r="B59" s="22">
        <v>46171</v>
      </c>
      <c r="C59" s="21" t="s">
        <v>1</v>
      </c>
      <c r="D59" s="21" t="s">
        <v>4</v>
      </c>
      <c r="E59" s="21" t="s">
        <v>3</v>
      </c>
      <c r="F59" s="21" t="s">
        <v>3</v>
      </c>
      <c r="G59" s="23">
        <f>L2</f>
        <v>3750</v>
      </c>
    </row>
    <row r="60" spans="1:7" x14ac:dyDescent="0.3">
      <c r="A60" s="21"/>
      <c r="B60" s="21"/>
      <c r="C60" s="21"/>
      <c r="D60" s="21"/>
      <c r="E60" s="21"/>
      <c r="F60" s="21"/>
      <c r="G60" s="18"/>
    </row>
    <row r="61" spans="1:7" ht="15.6" x14ac:dyDescent="0.3">
      <c r="A61" s="20"/>
      <c r="B61" s="20"/>
      <c r="C61" s="20"/>
      <c r="D61" s="20"/>
      <c r="E61" s="20"/>
      <c r="F61" s="20"/>
      <c r="G61" s="7">
        <f>SUM(G46:G60)</f>
        <v>26350</v>
      </c>
    </row>
    <row r="64" spans="1:7" x14ac:dyDescent="0.3">
      <c r="A64" s="21"/>
      <c r="B64" s="22"/>
      <c r="C64" s="21"/>
      <c r="D64" s="21" t="s">
        <v>2</v>
      </c>
      <c r="E64" s="21" t="s">
        <v>7</v>
      </c>
      <c r="F64" s="21" t="s">
        <v>11</v>
      </c>
      <c r="G64" s="23"/>
    </row>
    <row r="65" spans="1:7" x14ac:dyDescent="0.3">
      <c r="A65" s="21">
        <v>1</v>
      </c>
      <c r="B65" s="22">
        <v>46175</v>
      </c>
      <c r="C65" s="21" t="s">
        <v>0</v>
      </c>
      <c r="D65" s="21" t="s">
        <v>4</v>
      </c>
      <c r="E65" s="21" t="s">
        <v>3</v>
      </c>
      <c r="F65" s="21" t="s">
        <v>4</v>
      </c>
      <c r="G65" s="23">
        <f>L4</f>
        <v>50</v>
      </c>
    </row>
    <row r="66" spans="1:7" x14ac:dyDescent="0.3">
      <c r="A66" s="21">
        <v>2</v>
      </c>
      <c r="B66" s="22">
        <v>46176</v>
      </c>
      <c r="C66" s="21" t="s">
        <v>1</v>
      </c>
      <c r="D66" s="21" t="s">
        <v>4</v>
      </c>
      <c r="E66" s="21" t="s">
        <v>3</v>
      </c>
      <c r="F66" s="21" t="s">
        <v>3</v>
      </c>
      <c r="G66" s="23">
        <f>L2</f>
        <v>3750</v>
      </c>
    </row>
    <row r="67" spans="1:7" x14ac:dyDescent="0.3">
      <c r="A67" s="21">
        <v>3</v>
      </c>
      <c r="B67" s="22">
        <v>46178</v>
      </c>
      <c r="C67" s="21" t="s">
        <v>0</v>
      </c>
      <c r="D67" s="21" t="s">
        <v>3</v>
      </c>
      <c r="E67" s="21" t="s">
        <v>4</v>
      </c>
      <c r="F67" s="21" t="s">
        <v>4</v>
      </c>
      <c r="G67" s="25">
        <f>L3</f>
        <v>-2500</v>
      </c>
    </row>
    <row r="68" spans="1:7" x14ac:dyDescent="0.3">
      <c r="A68" s="21">
        <v>4</v>
      </c>
      <c r="B68" s="22">
        <v>46182</v>
      </c>
      <c r="C68" s="21" t="s">
        <v>0</v>
      </c>
      <c r="D68" s="21" t="s">
        <v>4</v>
      </c>
      <c r="E68" s="21" t="s">
        <v>3</v>
      </c>
      <c r="F68" s="21" t="s">
        <v>3</v>
      </c>
      <c r="G68" s="23">
        <f>L2</f>
        <v>3750</v>
      </c>
    </row>
    <row r="69" spans="1:7" x14ac:dyDescent="0.3">
      <c r="A69" s="21">
        <v>5</v>
      </c>
      <c r="B69" s="22">
        <v>46183</v>
      </c>
      <c r="C69" s="21" t="s">
        <v>1</v>
      </c>
      <c r="D69" s="21" t="s">
        <v>3</v>
      </c>
      <c r="E69" s="21" t="s">
        <v>4</v>
      </c>
      <c r="F69" s="21" t="s">
        <v>4</v>
      </c>
      <c r="G69" s="25">
        <f>L3</f>
        <v>-2500</v>
      </c>
    </row>
    <row r="70" spans="1:7" x14ac:dyDescent="0.3">
      <c r="A70" s="21">
        <v>6</v>
      </c>
      <c r="B70" s="22">
        <v>46184</v>
      </c>
      <c r="C70" s="21" t="s">
        <v>1</v>
      </c>
      <c r="D70" s="21" t="s">
        <v>4</v>
      </c>
      <c r="E70" s="21" t="s">
        <v>3</v>
      </c>
      <c r="F70" s="21" t="s">
        <v>3</v>
      </c>
      <c r="G70" s="23">
        <f>L2</f>
        <v>3750</v>
      </c>
    </row>
    <row r="71" spans="1:7" x14ac:dyDescent="0.3">
      <c r="A71" s="21">
        <v>7</v>
      </c>
      <c r="B71" s="22">
        <v>46185</v>
      </c>
      <c r="C71" s="21" t="s">
        <v>1</v>
      </c>
      <c r="D71" s="21" t="s">
        <v>3</v>
      </c>
      <c r="E71" s="21" t="s">
        <v>4</v>
      </c>
      <c r="F71" s="21" t="s">
        <v>4</v>
      </c>
      <c r="G71" s="25">
        <f>L3</f>
        <v>-2500</v>
      </c>
    </row>
    <row r="72" spans="1:7" x14ac:dyDescent="0.3">
      <c r="A72" s="21">
        <v>8</v>
      </c>
      <c r="B72" s="22">
        <v>46188</v>
      </c>
      <c r="C72" s="21" t="s">
        <v>0</v>
      </c>
      <c r="D72" s="21" t="s">
        <v>4</v>
      </c>
      <c r="E72" s="21" t="s">
        <v>3</v>
      </c>
      <c r="F72" s="21" t="s">
        <v>3</v>
      </c>
      <c r="G72" s="23">
        <f>L2</f>
        <v>3750</v>
      </c>
    </row>
    <row r="73" spans="1:7" x14ac:dyDescent="0.3">
      <c r="A73" s="21">
        <v>9</v>
      </c>
      <c r="B73" s="22">
        <v>46189</v>
      </c>
      <c r="C73" s="21" t="s">
        <v>1</v>
      </c>
      <c r="D73" s="21" t="s">
        <v>4</v>
      </c>
      <c r="E73" s="21" t="s">
        <v>3</v>
      </c>
      <c r="F73" s="21" t="s">
        <v>3</v>
      </c>
      <c r="G73" s="23">
        <f>L2</f>
        <v>3750</v>
      </c>
    </row>
    <row r="74" spans="1:7" x14ac:dyDescent="0.3">
      <c r="A74" s="21">
        <v>10</v>
      </c>
      <c r="B74" s="22">
        <v>46190</v>
      </c>
      <c r="C74" s="21" t="s">
        <v>0</v>
      </c>
      <c r="D74" s="21" t="s">
        <v>4</v>
      </c>
      <c r="E74" s="21" t="s">
        <v>3</v>
      </c>
      <c r="F74" s="21" t="s">
        <v>3</v>
      </c>
      <c r="G74" s="23">
        <f>L2</f>
        <v>3750</v>
      </c>
    </row>
    <row r="75" spans="1:7" x14ac:dyDescent="0.3">
      <c r="A75" s="21">
        <v>11</v>
      </c>
      <c r="B75" s="22">
        <v>46191</v>
      </c>
      <c r="C75" s="21" t="s">
        <v>1</v>
      </c>
      <c r="D75" s="21" t="s">
        <v>3</v>
      </c>
      <c r="E75" s="21" t="s">
        <v>4</v>
      </c>
      <c r="F75" s="21" t="s">
        <v>4</v>
      </c>
      <c r="G75" s="25">
        <f>L3</f>
        <v>-2500</v>
      </c>
    </row>
    <row r="76" spans="1:7" x14ac:dyDescent="0.3">
      <c r="A76" s="21">
        <v>12</v>
      </c>
      <c r="B76" s="22">
        <v>46195</v>
      </c>
      <c r="C76" s="21" t="s">
        <v>1</v>
      </c>
      <c r="D76" s="21" t="s">
        <v>3</v>
      </c>
      <c r="E76" s="21" t="s">
        <v>4</v>
      </c>
      <c r="F76" s="21" t="s">
        <v>4</v>
      </c>
      <c r="G76" s="25">
        <f>L3</f>
        <v>-2500</v>
      </c>
    </row>
    <row r="77" spans="1:7" x14ac:dyDescent="0.3">
      <c r="A77" s="21"/>
      <c r="B77" s="22"/>
      <c r="C77" s="21"/>
      <c r="D77" s="21"/>
      <c r="E77" s="21"/>
      <c r="F77" s="21"/>
      <c r="G77" s="25"/>
    </row>
    <row r="78" spans="1:7" x14ac:dyDescent="0.3">
      <c r="A78" s="21"/>
      <c r="B78" s="21"/>
      <c r="C78" s="21"/>
      <c r="D78" s="21"/>
      <c r="E78" s="21"/>
      <c r="F78" s="21"/>
      <c r="G78" s="18"/>
    </row>
    <row r="79" spans="1:7" ht="15.6" x14ac:dyDescent="0.3">
      <c r="A79" s="20"/>
      <c r="B79" s="20"/>
      <c r="C79" s="20"/>
      <c r="D79" s="20"/>
      <c r="E79" s="20"/>
      <c r="F79" s="20"/>
      <c r="G79" s="7">
        <f>SUM(G65:G78)</f>
        <v>10050</v>
      </c>
    </row>
    <row r="87" spans="2:2" x14ac:dyDescent="0.3">
      <c r="B87" s="5">
        <f>G79+G61+G43+G32</f>
        <v>66600</v>
      </c>
    </row>
  </sheetData>
  <mergeCells count="1">
    <mergeCell ref="A9:C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F37A8-9D3F-4066-B909-41D4CCBFEBCF}">
  <dimension ref="A1:M89"/>
  <sheetViews>
    <sheetView workbookViewId="0">
      <selection activeCell="D2" sqref="D2"/>
    </sheetView>
  </sheetViews>
  <sheetFormatPr defaultRowHeight="14.4" x14ac:dyDescent="0.3"/>
  <cols>
    <col min="2" max="2" width="10.109375" bestFit="1" customWidth="1"/>
    <col min="3" max="3" width="12.6640625" bestFit="1" customWidth="1"/>
    <col min="4" max="4" width="18.44140625" customWidth="1"/>
    <col min="5" max="5" width="12.6640625" bestFit="1" customWidth="1"/>
    <col min="6" max="6" width="11.5546875" bestFit="1" customWidth="1"/>
  </cols>
  <sheetData>
    <row r="1" spans="1:13" x14ac:dyDescent="0.3">
      <c r="B1" s="33" t="s">
        <v>18</v>
      </c>
      <c r="C1" s="33"/>
      <c r="D1" s="33"/>
    </row>
    <row r="2" spans="1:13" x14ac:dyDescent="0.3">
      <c r="B2" s="33" t="s">
        <v>12</v>
      </c>
      <c r="C2" s="33"/>
      <c r="D2" s="4">
        <f>'ABERTURA INDICE'!H25</f>
        <v>12320</v>
      </c>
      <c r="F2" s="5"/>
    </row>
    <row r="3" spans="1:13" x14ac:dyDescent="0.3">
      <c r="B3" s="33" t="s">
        <v>17</v>
      </c>
      <c r="C3" s="33"/>
      <c r="D3" s="4">
        <f>'DOLAR ABERTURA'!G25</f>
        <v>-1530</v>
      </c>
    </row>
    <row r="4" spans="1:13" x14ac:dyDescent="0.3">
      <c r="B4" s="33" t="s">
        <v>10</v>
      </c>
      <c r="C4" s="33"/>
      <c r="D4" s="4">
        <f>'DOLAR RED'!F23</f>
        <v>7455</v>
      </c>
      <c r="F4" s="5"/>
      <c r="K4" s="33"/>
      <c r="L4" s="33"/>
      <c r="M4" s="33"/>
    </row>
    <row r="5" spans="1:13" ht="15.6" x14ac:dyDescent="0.3">
      <c r="B5" s="33" t="s">
        <v>19</v>
      </c>
      <c r="C5" s="33"/>
      <c r="D5" s="4">
        <f>'DI ABERTURA'!G25</f>
        <v>28315.200000000008</v>
      </c>
      <c r="E5" s="7"/>
      <c r="F5" s="5"/>
      <c r="K5" s="33"/>
      <c r="L5" s="33"/>
      <c r="M5" s="4"/>
    </row>
    <row r="6" spans="1:13" ht="15.6" x14ac:dyDescent="0.3">
      <c r="D6" s="7">
        <f>SUM(D2:D5)</f>
        <v>46560.200000000012</v>
      </c>
      <c r="F6" s="5"/>
      <c r="K6" s="33"/>
      <c r="L6" s="33"/>
      <c r="M6" s="4"/>
    </row>
    <row r="7" spans="1:13" x14ac:dyDescent="0.3">
      <c r="K7" s="33"/>
      <c r="L7" s="33"/>
      <c r="M7" s="4"/>
    </row>
    <row r="8" spans="1:13" x14ac:dyDescent="0.3">
      <c r="B8" s="33" t="s">
        <v>18</v>
      </c>
      <c r="C8" s="33"/>
      <c r="D8" s="33"/>
      <c r="K8" s="33"/>
      <c r="L8" s="33"/>
      <c r="M8" s="4"/>
    </row>
    <row r="9" spans="1:13" ht="15.6" x14ac:dyDescent="0.3">
      <c r="A9" s="2">
        <v>1</v>
      </c>
      <c r="B9" s="22">
        <v>46085</v>
      </c>
      <c r="C9" s="5">
        <f>'ABERTURA INDICE'!H5+'DOLAR ABERTURA'!G5+'DOLAR RED'!F3+'DI ABERTURA'!G5</f>
        <v>6093.5</v>
      </c>
      <c r="D9" s="4">
        <f>C9</f>
        <v>6093.5</v>
      </c>
      <c r="M9" s="7"/>
    </row>
    <row r="10" spans="1:13" x14ac:dyDescent="0.3">
      <c r="A10" s="2">
        <v>2</v>
      </c>
      <c r="B10" s="22">
        <v>46086</v>
      </c>
      <c r="C10" s="5">
        <f>'ABERTURA INDICE'!H6+'DOLAR ABERTURA'!G6+'DOLAR RED'!F4+'DI ABERTURA'!G6</f>
        <v>-3616.5</v>
      </c>
      <c r="D10" s="4">
        <f t="shared" ref="D10:D27" si="0">D9+C10</f>
        <v>2477</v>
      </c>
    </row>
    <row r="11" spans="1:13" x14ac:dyDescent="0.3">
      <c r="A11" s="2">
        <v>3</v>
      </c>
      <c r="B11" s="22">
        <v>46087</v>
      </c>
      <c r="C11" s="5">
        <f>'ABERTURA INDICE'!H7+'DOLAR ABERTURA'!G7+'DOLAR RED'!F5+'DI ABERTURA'!G7</f>
        <v>-2496.6</v>
      </c>
      <c r="D11" s="4">
        <f t="shared" si="0"/>
        <v>-19.599999999999909</v>
      </c>
      <c r="K11" s="33"/>
      <c r="L11" s="33"/>
      <c r="M11" s="33"/>
    </row>
    <row r="12" spans="1:13" x14ac:dyDescent="0.3">
      <c r="A12" s="2">
        <v>4</v>
      </c>
      <c r="B12" s="22">
        <v>46090</v>
      </c>
      <c r="C12" s="5">
        <f>'ABERTURA INDICE'!H8+'DOLAR ABERTURA'!G8+'DOLAR RED'!F6+'DI ABERTURA'!G8</f>
        <v>-2496.6</v>
      </c>
      <c r="D12" s="6">
        <f t="shared" si="0"/>
        <v>-2516.1999999999998</v>
      </c>
      <c r="K12" s="22"/>
      <c r="L12" s="5"/>
      <c r="M12" s="4"/>
    </row>
    <row r="13" spans="1:13" x14ac:dyDescent="0.3">
      <c r="A13" s="2">
        <v>5</v>
      </c>
      <c r="B13" s="22">
        <v>46091</v>
      </c>
      <c r="C13" s="5">
        <f>'ABERTURA INDICE'!H9+'DOLAR ABERTURA'!G9+'DOLAR RED'!F7+'DI ABERTURA'!G9</f>
        <v>1003.4000000000001</v>
      </c>
      <c r="D13" s="6">
        <f t="shared" si="0"/>
        <v>-1512.7999999999997</v>
      </c>
      <c r="K13" s="22"/>
      <c r="L13" s="5"/>
      <c r="M13" s="4"/>
    </row>
    <row r="14" spans="1:13" x14ac:dyDescent="0.3">
      <c r="A14" s="2">
        <v>6</v>
      </c>
      <c r="B14" s="22">
        <v>46092</v>
      </c>
      <c r="C14" s="5">
        <f>'ABERTURA INDICE'!H10+'DOLAR ABERTURA'!G10+'DOLAR RED'!F8+'DI ABERTURA'!G10</f>
        <v>308.5</v>
      </c>
      <c r="D14" s="6">
        <f t="shared" si="0"/>
        <v>-1204.2999999999997</v>
      </c>
      <c r="K14" s="22"/>
      <c r="L14" s="5"/>
      <c r="M14" s="4"/>
    </row>
    <row r="15" spans="1:13" x14ac:dyDescent="0.3">
      <c r="A15" s="2">
        <v>7</v>
      </c>
      <c r="B15" s="22">
        <v>46093</v>
      </c>
      <c r="C15" s="5">
        <f>'ABERTURA INDICE'!H11+'DOLAR ABERTURA'!G11+'DOLAR RED'!F9</f>
        <v>2075</v>
      </c>
      <c r="D15" s="6">
        <f t="shared" si="0"/>
        <v>870.70000000000027</v>
      </c>
      <c r="K15" s="22"/>
      <c r="L15" s="5"/>
      <c r="M15" s="6"/>
    </row>
    <row r="16" spans="1:13" x14ac:dyDescent="0.3">
      <c r="A16" s="2">
        <v>8</v>
      </c>
      <c r="B16" s="22">
        <v>46094</v>
      </c>
      <c r="C16" s="5">
        <f>'ABERTURA INDICE'!H12+'DOLAR ABERTURA'!G12+'DOLAR RED'!F10+'DI ABERTURA'!G11</f>
        <v>5308.4</v>
      </c>
      <c r="D16" s="6">
        <f t="shared" si="0"/>
        <v>6179.1</v>
      </c>
      <c r="K16" s="22"/>
      <c r="L16" s="5"/>
      <c r="M16" s="6"/>
    </row>
    <row r="17" spans="1:13" x14ac:dyDescent="0.3">
      <c r="A17" s="2">
        <v>9</v>
      </c>
      <c r="B17" s="21" t="s">
        <v>14</v>
      </c>
      <c r="C17" s="5">
        <f>'ABERTURA INDICE'!H13+'DOLAR ABERTURA'!G13+'DOLAR RED'!F11+'DI ABERTURA'!G13</f>
        <v>8368.4</v>
      </c>
      <c r="D17" s="4">
        <f t="shared" si="0"/>
        <v>14547.5</v>
      </c>
      <c r="K17" s="22"/>
      <c r="L17" s="5"/>
      <c r="M17" s="6"/>
    </row>
    <row r="18" spans="1:13" x14ac:dyDescent="0.3">
      <c r="A18" s="2">
        <v>10</v>
      </c>
      <c r="B18" s="22">
        <v>46099</v>
      </c>
      <c r="C18" s="5">
        <f>'ABERTURA INDICE'!H14+'DOLAR ABERTURA'!G14+'DOLAR RED'!F12+'DI ABERTURA'!G14</f>
        <v>-6796.5</v>
      </c>
      <c r="D18" s="6">
        <f t="shared" si="0"/>
        <v>7751</v>
      </c>
      <c r="K18" s="22"/>
      <c r="L18" s="5"/>
      <c r="M18" s="6"/>
    </row>
    <row r="19" spans="1:13" x14ac:dyDescent="0.3">
      <c r="A19" s="2">
        <v>11</v>
      </c>
      <c r="B19" s="22">
        <v>46100</v>
      </c>
      <c r="C19" s="5">
        <f>'ABERTURA INDICE'!H15+'DOLAR ABERTURA'!G15+'DOLAR RED'!F13+'DI ABERTURA'!G15</f>
        <v>1003.4000000000001</v>
      </c>
      <c r="D19" s="6">
        <f t="shared" si="0"/>
        <v>8754.4</v>
      </c>
      <c r="K19" s="22"/>
      <c r="L19" s="5"/>
      <c r="M19" s="6"/>
    </row>
    <row r="20" spans="1:13" x14ac:dyDescent="0.3">
      <c r="A20" s="2">
        <v>12</v>
      </c>
      <c r="B20" s="22">
        <v>46101</v>
      </c>
      <c r="C20" s="5">
        <f>'ABERTURA INDICE'!H16+'DOLAR ABERTURA'!G16+'DOLAR RED'!F14+'DI ABERTURA'!G16</f>
        <v>4608.3999999999996</v>
      </c>
      <c r="D20" s="6">
        <f t="shared" si="0"/>
        <v>13362.8</v>
      </c>
      <c r="K20" s="21"/>
      <c r="L20" s="5"/>
      <c r="M20" s="4"/>
    </row>
    <row r="21" spans="1:13" x14ac:dyDescent="0.3">
      <c r="A21" s="2">
        <v>13</v>
      </c>
      <c r="B21" s="22">
        <v>46104</v>
      </c>
      <c r="C21" s="5">
        <f>'ABERTURA INDICE'!H17+'DOLAR ABERTURA'!G17+'DOLAR RED'!F15+'DI ABERTURA'!G17</f>
        <v>2943.5</v>
      </c>
      <c r="D21" s="4">
        <f t="shared" si="0"/>
        <v>16306.3</v>
      </c>
      <c r="K21" s="22"/>
      <c r="L21" s="5"/>
      <c r="M21" s="6"/>
    </row>
    <row r="22" spans="1:13" x14ac:dyDescent="0.3">
      <c r="A22" s="2">
        <v>14</v>
      </c>
      <c r="B22" s="22">
        <v>46105</v>
      </c>
      <c r="C22" s="5">
        <f>'ABERTURA INDICE'!H18+'DOLAR ABERTURA'!G18+'DOLAR RED'!F16+'DI ABERTURA'!G18</f>
        <v>7213.4</v>
      </c>
      <c r="D22" s="4">
        <f t="shared" si="0"/>
        <v>23519.699999999997</v>
      </c>
      <c r="K22" s="22"/>
      <c r="L22" s="5"/>
      <c r="M22" s="6"/>
    </row>
    <row r="23" spans="1:13" x14ac:dyDescent="0.3">
      <c r="A23" s="2">
        <v>15</v>
      </c>
      <c r="B23" s="22">
        <v>46106</v>
      </c>
      <c r="C23" s="5">
        <f>'ABERTURA INDICE'!H19+'DOLAR ABERTURA'!G19+'DOLAR RED'!F17+'DI ABERTURA'!G19</f>
        <v>-4421.5</v>
      </c>
      <c r="D23" s="4">
        <f t="shared" si="0"/>
        <v>19098.199999999997</v>
      </c>
      <c r="K23" s="22"/>
      <c r="L23" s="5"/>
      <c r="M23" s="6"/>
    </row>
    <row r="24" spans="1:13" x14ac:dyDescent="0.3">
      <c r="A24" s="2">
        <v>16</v>
      </c>
      <c r="B24" s="22">
        <v>46107</v>
      </c>
      <c r="C24" s="5">
        <f>'ABERTURA INDICE'!H20+'DOLAR ABERTURA'!G20+'DOLAR RED'!F18+'DI ABERTURA'!G20</f>
        <v>6433.4</v>
      </c>
      <c r="D24" s="4">
        <f t="shared" si="0"/>
        <v>25531.599999999999</v>
      </c>
      <c r="K24" s="22"/>
      <c r="L24" s="5"/>
      <c r="M24" s="4"/>
    </row>
    <row r="25" spans="1:13" x14ac:dyDescent="0.3">
      <c r="A25" s="2">
        <v>17</v>
      </c>
      <c r="B25" s="22">
        <v>46108</v>
      </c>
      <c r="C25" s="5">
        <f>'ABERTURA INDICE'!H21+'DOLAR ABERTURA'!G21+'DOLAR RED'!F19+'DI ABERTURA'!G21</f>
        <v>6433.4</v>
      </c>
      <c r="D25" s="4">
        <f t="shared" si="0"/>
        <v>31965</v>
      </c>
      <c r="K25" s="22"/>
      <c r="L25" s="5"/>
      <c r="M25" s="4"/>
    </row>
    <row r="26" spans="1:13" x14ac:dyDescent="0.3">
      <c r="A26" s="2">
        <v>18</v>
      </c>
      <c r="B26" s="22">
        <v>46111</v>
      </c>
      <c r="C26" s="5">
        <f>'ABERTURA INDICE'!H22+'DOLAR ABERTURA'!G22+'DOLAR RED'!F20+'DI ABERTURA'!G22</f>
        <v>1808.4</v>
      </c>
      <c r="D26" s="4">
        <f t="shared" si="0"/>
        <v>33773.4</v>
      </c>
      <c r="K26" s="22"/>
      <c r="L26" s="5"/>
      <c r="M26" s="4"/>
    </row>
    <row r="27" spans="1:13" x14ac:dyDescent="0.3">
      <c r="A27" s="2">
        <v>19</v>
      </c>
      <c r="B27" s="22">
        <v>46112</v>
      </c>
      <c r="C27" s="5">
        <f>'ABERTURA INDICE'!H23+'DOLAR ABERTURA'!G23+'DOLAR RED'!F21+'DI ABERTURA'!G23</f>
        <v>9583.4</v>
      </c>
      <c r="D27" s="4">
        <f t="shared" si="0"/>
        <v>43356.800000000003</v>
      </c>
      <c r="K27" s="22"/>
      <c r="L27" s="5"/>
      <c r="M27" s="4"/>
    </row>
    <row r="28" spans="1:13" ht="15.6" x14ac:dyDescent="0.3">
      <c r="C28" s="27">
        <f>SUM(C9:C27)</f>
        <v>43356.800000000003</v>
      </c>
      <c r="K28" s="22"/>
      <c r="L28" s="5"/>
      <c r="M28" s="4"/>
    </row>
    <row r="29" spans="1:13" ht="15.6" x14ac:dyDescent="0.3">
      <c r="C29" s="27"/>
      <c r="K29" s="22"/>
      <c r="L29" s="5"/>
      <c r="M29" s="4"/>
    </row>
    <row r="30" spans="1:13" x14ac:dyDescent="0.3">
      <c r="B30" s="33" t="s">
        <v>20</v>
      </c>
      <c r="C30" s="33"/>
      <c r="D30" s="33"/>
      <c r="K30" s="22"/>
      <c r="L30" s="5"/>
      <c r="M30" s="4"/>
    </row>
    <row r="31" spans="1:13" ht="15.6" x14ac:dyDescent="0.3">
      <c r="B31" s="33" t="s">
        <v>12</v>
      </c>
      <c r="C31" s="33"/>
      <c r="D31" s="4">
        <f>'ABERTURA INDICE'!H48</f>
        <v>4900</v>
      </c>
      <c r="L31" s="27"/>
    </row>
    <row r="32" spans="1:13" x14ac:dyDescent="0.3">
      <c r="B32" s="33" t="s">
        <v>17</v>
      </c>
      <c r="C32" s="33"/>
      <c r="D32" s="4">
        <f>'DOLAR ABERTURA'!G44</f>
        <v>-2520</v>
      </c>
    </row>
    <row r="33" spans="2:10" x14ac:dyDescent="0.3">
      <c r="B33" s="33" t="s">
        <v>10</v>
      </c>
      <c r="C33" s="33"/>
      <c r="D33" s="4">
        <f>'DOLAR RED'!F46</f>
        <v>22575</v>
      </c>
    </row>
    <row r="34" spans="2:10" x14ac:dyDescent="0.3">
      <c r="B34" s="33" t="s">
        <v>19</v>
      </c>
      <c r="C34" s="33"/>
      <c r="D34" s="4">
        <f>'DI ABERTURA'!G49</f>
        <v>-1030.8000000000006</v>
      </c>
    </row>
    <row r="35" spans="2:10" ht="15.6" x14ac:dyDescent="0.3">
      <c r="C35" s="5"/>
      <c r="D35" s="7">
        <f>SUM(D31:D34)</f>
        <v>23924.2</v>
      </c>
    </row>
    <row r="36" spans="2:10" ht="15.6" x14ac:dyDescent="0.3">
      <c r="C36" s="5"/>
      <c r="D36" s="7"/>
    </row>
    <row r="37" spans="2:10" x14ac:dyDescent="0.3">
      <c r="B37" s="33" t="s">
        <v>20</v>
      </c>
      <c r="C37" s="33"/>
      <c r="D37" s="33"/>
      <c r="E37" s="33"/>
    </row>
    <row r="38" spans="2:10" x14ac:dyDescent="0.3">
      <c r="B38" s="21">
        <v>1</v>
      </c>
      <c r="C38" s="22">
        <v>46113</v>
      </c>
      <c r="D38" s="4">
        <f>'ABERTURA INDICE'!H28+'DOLAR ABERTURA'!G28+'DOLAR RED'!F25+'DI ABERTURA'!G28</f>
        <v>4608.3999999999996</v>
      </c>
      <c r="E38" s="4">
        <f>D38</f>
        <v>4608.3999999999996</v>
      </c>
      <c r="F38" s="4"/>
    </row>
    <row r="39" spans="2:10" x14ac:dyDescent="0.3">
      <c r="B39" s="21">
        <v>2</v>
      </c>
      <c r="C39" s="22">
        <v>46114</v>
      </c>
      <c r="D39" s="4">
        <f>'ABERTURA INDICE'!H29+'DOLAR ABERTURA'!G29+'DOLAR RED'!F26+'DI ABERTURA'!G29</f>
        <v>-4421.5</v>
      </c>
      <c r="E39" s="6">
        <f t="shared" ref="E39:E57" si="1">E38+D39</f>
        <v>186.89999999999964</v>
      </c>
      <c r="F39" s="4"/>
    </row>
    <row r="40" spans="2:10" x14ac:dyDescent="0.3">
      <c r="B40" s="21">
        <v>3</v>
      </c>
      <c r="C40" s="22">
        <v>46118</v>
      </c>
      <c r="D40" s="4">
        <f>'ABERTURA INDICE'!H30+'DOLAR ABERTURA'!G30+'DOLAR RED'!F27+'DI ABERTURA'!G30</f>
        <v>-116.5</v>
      </c>
      <c r="E40" s="6">
        <f t="shared" si="1"/>
        <v>70.399999999999636</v>
      </c>
      <c r="F40" s="4"/>
    </row>
    <row r="41" spans="2:10" x14ac:dyDescent="0.3">
      <c r="B41" s="21">
        <v>4</v>
      </c>
      <c r="C41" s="22">
        <v>46119</v>
      </c>
      <c r="D41" s="4">
        <f>'ABERTURA INDICE'!H31+'DOLAR ABERTURA'!G31+'DOLAR RED'!F28+'DI ABERTURA'!G31</f>
        <v>-116.5</v>
      </c>
      <c r="E41" s="6">
        <f t="shared" si="1"/>
        <v>-46.100000000000364</v>
      </c>
      <c r="F41" s="4"/>
    </row>
    <row r="42" spans="2:10" x14ac:dyDescent="0.3">
      <c r="B42" s="21">
        <v>5</v>
      </c>
      <c r="C42" s="22">
        <v>46120</v>
      </c>
      <c r="D42" s="4">
        <f>'ABERTURA INDICE'!H32+'DOLAR ABERTURA'!G32+'DOLAR RED'!F29+'DI ABERTURA'!G32</f>
        <v>8368.4</v>
      </c>
      <c r="E42" s="4">
        <f t="shared" si="1"/>
        <v>8322.2999999999993</v>
      </c>
      <c r="F42" s="4"/>
    </row>
    <row r="43" spans="2:10" x14ac:dyDescent="0.3">
      <c r="B43" s="21">
        <v>6</v>
      </c>
      <c r="C43" s="22">
        <v>46121</v>
      </c>
      <c r="D43" s="4">
        <f>'DOLAR RED'!F30+'DI ABERTURA'!G33</f>
        <v>5408.4</v>
      </c>
      <c r="E43" s="4">
        <f t="shared" si="1"/>
        <v>13730.699999999999</v>
      </c>
      <c r="F43" s="4"/>
    </row>
    <row r="44" spans="2:10" x14ac:dyDescent="0.3">
      <c r="B44" s="21">
        <v>7</v>
      </c>
      <c r="C44" s="22">
        <v>46122</v>
      </c>
      <c r="D44" s="4">
        <f>'ABERTURA INDICE'!H34+'DOLAR ABERTURA'!G33+'DOLAR RED'!F31+'DI ABERTURA'!G34</f>
        <v>-1361.5</v>
      </c>
      <c r="E44" s="4">
        <f t="shared" si="1"/>
        <v>12369.199999999999</v>
      </c>
      <c r="F44" s="4"/>
    </row>
    <row r="45" spans="2:10" x14ac:dyDescent="0.3">
      <c r="B45" s="21">
        <v>8</v>
      </c>
      <c r="C45" s="22">
        <v>46125</v>
      </c>
      <c r="D45" s="4">
        <f>'ABERTURA INDICE'!H35+'DOLAR ABERTURA'!G34+'DOLAR RED'!F32+'DI ABERTURA'!G35</f>
        <v>2128.4</v>
      </c>
      <c r="E45" s="4">
        <f t="shared" si="1"/>
        <v>14497.599999999999</v>
      </c>
      <c r="F45" s="4"/>
      <c r="J45" s="5"/>
    </row>
    <row r="46" spans="2:10" x14ac:dyDescent="0.3">
      <c r="B46" s="21">
        <v>9</v>
      </c>
      <c r="C46" s="22">
        <v>46126</v>
      </c>
      <c r="D46" s="4">
        <f>'ABERTURA INDICE'!H36+'DOLAR ABERTURA'!G35+'DOLAR RED'!F33+'DI ABERTURA'!G36</f>
        <v>5308.4</v>
      </c>
      <c r="E46" s="4">
        <f t="shared" si="1"/>
        <v>19806</v>
      </c>
      <c r="F46" s="4"/>
    </row>
    <row r="47" spans="2:10" x14ac:dyDescent="0.3">
      <c r="B47" s="21">
        <v>10</v>
      </c>
      <c r="C47" s="22">
        <v>46127</v>
      </c>
      <c r="D47" s="4">
        <f>'DOLAR RED'!F34+'DI ABERTURA'!G37</f>
        <v>-16.5</v>
      </c>
      <c r="E47" s="4">
        <f t="shared" si="1"/>
        <v>19789.5</v>
      </c>
      <c r="F47" s="4"/>
    </row>
    <row r="48" spans="2:10" x14ac:dyDescent="0.3">
      <c r="B48" s="21">
        <v>11</v>
      </c>
      <c r="C48" s="22">
        <v>46128</v>
      </c>
      <c r="D48" s="4">
        <f>'DOLAR RED'!F35+'DI ABERTURA'!G38</f>
        <v>-16.5</v>
      </c>
      <c r="E48" s="4">
        <f t="shared" si="1"/>
        <v>19773</v>
      </c>
      <c r="F48" s="4"/>
    </row>
    <row r="49" spans="2:6" x14ac:dyDescent="0.3">
      <c r="B49" s="21">
        <v>12</v>
      </c>
      <c r="C49" s="22">
        <v>46129</v>
      </c>
      <c r="D49" s="4">
        <f>'ABERTURA INDICE'!H44+'DOLAR ABERTURA'!G36+'DOLAR RED'!F36+'DI ABERTURA'!G39</f>
        <v>-2061.5</v>
      </c>
      <c r="E49" s="4">
        <f t="shared" si="1"/>
        <v>17711.5</v>
      </c>
      <c r="F49" s="4"/>
    </row>
    <row r="50" spans="2:6" x14ac:dyDescent="0.3">
      <c r="B50" s="21">
        <v>13</v>
      </c>
      <c r="C50" s="22">
        <v>46132</v>
      </c>
      <c r="D50" s="4">
        <f>'ABERTURA INDICE'!H40+'DOLAR ABERTURA'!G37+'DOLAR RED'!F37+'DI ABERTURA'!G40</f>
        <v>308.5</v>
      </c>
      <c r="E50" s="4">
        <f t="shared" si="1"/>
        <v>18020</v>
      </c>
      <c r="F50" s="4"/>
    </row>
    <row r="51" spans="2:6" x14ac:dyDescent="0.3">
      <c r="B51" s="21">
        <v>14</v>
      </c>
      <c r="C51" s="22">
        <v>46134</v>
      </c>
      <c r="D51" s="4">
        <f>'ABERTURA INDICE'!H41+'DOLAR ABERTURA'!G38+'DOLAR RED'!F38+'DI ABERTURA'!G41</f>
        <v>-3616.5</v>
      </c>
      <c r="E51" s="4">
        <f t="shared" si="1"/>
        <v>14403.5</v>
      </c>
      <c r="F51" s="4"/>
    </row>
    <row r="52" spans="2:6" x14ac:dyDescent="0.3">
      <c r="B52" s="21">
        <v>15</v>
      </c>
      <c r="C52" s="22">
        <v>46135</v>
      </c>
      <c r="D52" s="4">
        <f>'ABERTURA INDICE'!H42+'DOLAR ABERTURA'!G39+'DOLAR RED'!F39+'DI ABERTURA'!G42</f>
        <v>4608.3999999999996</v>
      </c>
      <c r="E52" s="4">
        <f t="shared" si="1"/>
        <v>19011.900000000001</v>
      </c>
      <c r="F52" s="4"/>
    </row>
    <row r="53" spans="2:6" x14ac:dyDescent="0.3">
      <c r="B53" s="21">
        <v>16</v>
      </c>
      <c r="C53" s="22">
        <v>46136</v>
      </c>
      <c r="D53" s="4">
        <f>'DOLAR RED'!F40+'DI ABERTURA'!G43</f>
        <v>-16.5</v>
      </c>
      <c r="E53" s="4">
        <f t="shared" si="1"/>
        <v>18995.400000000001</v>
      </c>
      <c r="F53" s="4"/>
    </row>
    <row r="54" spans="2:6" x14ac:dyDescent="0.3">
      <c r="B54" s="21">
        <v>17</v>
      </c>
      <c r="C54" s="22">
        <v>46139</v>
      </c>
      <c r="D54" s="4">
        <f>'ABERTURA INDICE'!H44+'DOLAR ABERTURA'!G40+'DOLAR RED'!F41+'DI ABERTURA'!G44</f>
        <v>308.5</v>
      </c>
      <c r="E54" s="4">
        <f t="shared" si="1"/>
        <v>19303.900000000001</v>
      </c>
      <c r="F54" s="4"/>
    </row>
    <row r="55" spans="2:6" x14ac:dyDescent="0.3">
      <c r="B55" s="21">
        <v>18</v>
      </c>
      <c r="C55" s="22">
        <v>46140</v>
      </c>
      <c r="D55" s="4">
        <f>'ABERTURA INDICE'!H45+'DOLAR ABERTURA'!G41+'DOLAR RED'!F42+'DI ABERTURA'!G45</f>
        <v>6433.4</v>
      </c>
      <c r="E55" s="4">
        <f t="shared" si="1"/>
        <v>25737.300000000003</v>
      </c>
      <c r="F55" s="4"/>
    </row>
    <row r="56" spans="2:6" x14ac:dyDescent="0.3">
      <c r="B56" s="21">
        <v>19</v>
      </c>
      <c r="C56" s="22">
        <v>46141</v>
      </c>
      <c r="D56" s="4">
        <f>'ABERTURA INDICE'!H46+'DOLAR ABERTURA'!G42+'DOLAR RED'!F43+'DI ABERTURA'!G46</f>
        <v>-7921.5</v>
      </c>
      <c r="E56" s="4">
        <f t="shared" si="1"/>
        <v>17815.800000000003</v>
      </c>
      <c r="F56" s="4"/>
    </row>
    <row r="57" spans="2:6" x14ac:dyDescent="0.3">
      <c r="B57" s="21">
        <v>20</v>
      </c>
      <c r="C57" s="22">
        <v>46142</v>
      </c>
      <c r="D57" s="4">
        <f>'DOLAR RED'!F44+'DI ABERTURA'!G47</f>
        <v>5408.4</v>
      </c>
      <c r="E57" s="4">
        <f t="shared" si="1"/>
        <v>23224.200000000004</v>
      </c>
      <c r="F57" s="4"/>
    </row>
    <row r="58" spans="2:6" x14ac:dyDescent="0.3">
      <c r="D58" s="4"/>
      <c r="E58" s="4"/>
      <c r="F58" s="4"/>
    </row>
    <row r="59" spans="2:6" x14ac:dyDescent="0.3">
      <c r="D59" s="4"/>
      <c r="E59" s="4"/>
      <c r="F59" s="4"/>
    </row>
    <row r="60" spans="2:6" x14ac:dyDescent="0.3">
      <c r="D60" s="4"/>
      <c r="E60" s="4"/>
      <c r="F60" s="4"/>
    </row>
    <row r="61" spans="2:6" x14ac:dyDescent="0.3">
      <c r="B61" s="33" t="s">
        <v>23</v>
      </c>
      <c r="C61" s="33"/>
      <c r="D61" s="33"/>
    </row>
    <row r="62" spans="2:6" x14ac:dyDescent="0.3">
      <c r="B62" s="33" t="s">
        <v>12</v>
      </c>
      <c r="C62" s="33"/>
      <c r="D62" s="4">
        <f>'ABERTURA INDICE'!H75</f>
        <v>8750</v>
      </c>
    </row>
    <row r="63" spans="2:6" x14ac:dyDescent="0.3">
      <c r="B63" s="33" t="s">
        <v>17</v>
      </c>
      <c r="C63" s="33"/>
      <c r="D63" s="4">
        <f>'DOLAR ABERTURA'!G68</f>
        <v>1485</v>
      </c>
    </row>
    <row r="64" spans="2:6" x14ac:dyDescent="0.3">
      <c r="B64" s="33" t="s">
        <v>10</v>
      </c>
      <c r="C64" s="33"/>
      <c r="D64" s="4">
        <f>'DOLAR RED'!F70</f>
        <v>16065</v>
      </c>
    </row>
    <row r="65" spans="1:4" x14ac:dyDescent="0.3">
      <c r="B65" s="33" t="s">
        <v>19</v>
      </c>
      <c r="C65" s="33"/>
      <c r="D65" s="4">
        <f>'DI ABERTURA'!G73</f>
        <v>19686.900000000001</v>
      </c>
    </row>
    <row r="66" spans="1:4" ht="15.6" x14ac:dyDescent="0.3">
      <c r="D66" s="7">
        <f>SUM(D62:D65)</f>
        <v>45986.9</v>
      </c>
    </row>
    <row r="68" spans="1:4" x14ac:dyDescent="0.3">
      <c r="B68" s="33" t="s">
        <v>23</v>
      </c>
      <c r="C68" s="33"/>
      <c r="D68" s="33"/>
    </row>
    <row r="69" spans="1:4" x14ac:dyDescent="0.3">
      <c r="A69" s="2">
        <v>1</v>
      </c>
      <c r="B69" s="22">
        <v>46146</v>
      </c>
      <c r="C69" s="5">
        <f>'ABERTURA INDICE'!H51+'DOLAR ABERTURA'!G47+'DOLAR RED'!F49+'DI ABERTURA'!G52</f>
        <v>1008.5</v>
      </c>
      <c r="D69" s="4">
        <f>C69</f>
        <v>1008.5</v>
      </c>
    </row>
    <row r="70" spans="1:4" x14ac:dyDescent="0.3">
      <c r="A70" s="2">
        <v>2</v>
      </c>
      <c r="B70" s="22">
        <v>46147</v>
      </c>
      <c r="C70" s="5">
        <f>'ABERTURA INDICE'!H52+'DOLAR ABERTURA'!G48+'DOLAR RED'!F50+'DI ABERTURA'!G53</f>
        <v>-556.5</v>
      </c>
      <c r="D70" s="4">
        <f t="shared" ref="D70:D88" si="2">D69+C70</f>
        <v>452</v>
      </c>
    </row>
    <row r="71" spans="1:4" x14ac:dyDescent="0.3">
      <c r="A71" s="2">
        <v>3</v>
      </c>
      <c r="B71" s="22">
        <v>46148</v>
      </c>
      <c r="C71" s="5">
        <f>'DOLAR ABERTURA'!G49+'DOLAR RED'!F51+'DI ABERTURA'!G54</f>
        <v>-1096.5</v>
      </c>
      <c r="D71" s="4">
        <f t="shared" si="2"/>
        <v>-644.5</v>
      </c>
    </row>
    <row r="72" spans="1:4" x14ac:dyDescent="0.3">
      <c r="A72" s="2">
        <v>4</v>
      </c>
      <c r="B72" s="22">
        <v>46149</v>
      </c>
      <c r="C72" s="5">
        <f>'DOLAR RED'!F52</f>
        <v>2205</v>
      </c>
      <c r="D72" s="4">
        <f t="shared" si="2"/>
        <v>1560.5</v>
      </c>
    </row>
    <row r="73" spans="1:4" x14ac:dyDescent="0.3">
      <c r="A73" s="2">
        <v>5</v>
      </c>
      <c r="B73" s="22">
        <v>46150</v>
      </c>
      <c r="C73" s="5">
        <f>'ABERTURA INDICE'!H55+'DOLAR ABERTURA'!G51+'DOLAR RED'!F53+'DI ABERTURA'!G56</f>
        <v>7213.4</v>
      </c>
      <c r="D73" s="4">
        <f t="shared" si="2"/>
        <v>8773.9</v>
      </c>
    </row>
    <row r="74" spans="1:4" x14ac:dyDescent="0.3">
      <c r="A74" s="2">
        <v>6</v>
      </c>
      <c r="B74" s="22">
        <v>46153</v>
      </c>
      <c r="C74" s="5">
        <f>'ABERTURA INDICE'!H56+'DOLAR ABERTURA'!G52+'DOLAR RED'!F54+'DI ABERTURA'!G57</f>
        <v>-2491.5</v>
      </c>
      <c r="D74" s="4">
        <f t="shared" si="2"/>
        <v>6282.4</v>
      </c>
    </row>
    <row r="75" spans="1:4" x14ac:dyDescent="0.3">
      <c r="A75" s="2">
        <v>7</v>
      </c>
      <c r="B75" s="22">
        <v>46154</v>
      </c>
      <c r="C75" s="5">
        <f>'ABERTURA INDICE'!H57+'DOLAR ABERTURA'!G53+'DOLAR RED'!F55+'DI ABERTURA'!G58</f>
        <v>5308.4</v>
      </c>
      <c r="D75" s="4">
        <f t="shared" si="2"/>
        <v>11590.8</v>
      </c>
    </row>
    <row r="76" spans="1:4" x14ac:dyDescent="0.3">
      <c r="A76" s="2">
        <v>8</v>
      </c>
      <c r="B76" s="22">
        <v>46155</v>
      </c>
      <c r="C76" s="5">
        <f>'ABERTURA INDICE'!H58+'DOLAR ABERTURA'!G54+'DOLAR RED'!F56+'DI ABERTURA'!G59</f>
        <v>-7921.5</v>
      </c>
      <c r="D76" s="4">
        <f t="shared" si="2"/>
        <v>3669.2999999999993</v>
      </c>
    </row>
    <row r="77" spans="1:4" x14ac:dyDescent="0.3">
      <c r="A77" s="2">
        <v>9</v>
      </c>
      <c r="B77" s="22">
        <v>46156</v>
      </c>
      <c r="C77" s="5">
        <f>'DOLAR RED'!F57</f>
        <v>-2100</v>
      </c>
      <c r="D77" s="4">
        <f t="shared" si="2"/>
        <v>1569.2999999999993</v>
      </c>
    </row>
    <row r="78" spans="1:4" x14ac:dyDescent="0.3">
      <c r="A78" s="2">
        <v>10</v>
      </c>
      <c r="B78" s="22">
        <v>46157</v>
      </c>
      <c r="C78" s="5">
        <f>'ABERTURA INDICE'!H60+'DOLAR ABERTURA'!G56+'DOLAR RED'!F58+'DI ABERTURA'!G61</f>
        <v>4063.4</v>
      </c>
      <c r="D78" s="4">
        <f t="shared" si="2"/>
        <v>5632.6999999999989</v>
      </c>
    </row>
    <row r="79" spans="1:4" x14ac:dyDescent="0.3">
      <c r="A79" s="2">
        <v>11</v>
      </c>
      <c r="B79" s="22">
        <v>46160</v>
      </c>
      <c r="C79" s="5">
        <f>'ABERTURA INDICE'!H61+'DOLAR ABERTURA'!G57+'DOLAR RED'!F59+'DI ABERTURA'!G62</f>
        <v>4063.4</v>
      </c>
      <c r="D79" s="4">
        <f t="shared" si="2"/>
        <v>9696.0999999999985</v>
      </c>
    </row>
    <row r="80" spans="1:4" x14ac:dyDescent="0.3">
      <c r="A80" s="2">
        <v>12</v>
      </c>
      <c r="B80" s="22">
        <v>46161</v>
      </c>
      <c r="C80" s="5">
        <f>'ABERTURA INDICE'!H62+'DOLAR ABERTURA'!G58+'DOLAR RED'!F60+'DI ABERTURA'!G63</f>
        <v>5308.4</v>
      </c>
      <c r="D80" s="4">
        <f t="shared" si="2"/>
        <v>15004.499999999998</v>
      </c>
    </row>
    <row r="81" spans="1:4" x14ac:dyDescent="0.3">
      <c r="A81" s="2">
        <v>13</v>
      </c>
      <c r="B81" s="22">
        <v>46162</v>
      </c>
      <c r="C81" s="5">
        <f>'ABERTURA INDICE'!H63+'DOLAR ABERTURA'!G59+'DOLAR RED'!F61+'DI ABERTURA'!G64</f>
        <v>8458.4</v>
      </c>
      <c r="D81" s="4">
        <f t="shared" si="2"/>
        <v>23462.899999999998</v>
      </c>
    </row>
    <row r="82" spans="1:4" x14ac:dyDescent="0.3">
      <c r="A82" s="2">
        <v>14</v>
      </c>
      <c r="B82" s="22">
        <v>46163</v>
      </c>
      <c r="C82" s="5">
        <f>'ABERTURA INDICE'!H64+'DOLAR ABERTURA'!G60+'DOLAR RED'!F62+'DI ABERTURA'!G65</f>
        <v>1808.4</v>
      </c>
      <c r="D82" s="4">
        <f t="shared" si="2"/>
        <v>25271.3</v>
      </c>
    </row>
    <row r="83" spans="1:4" x14ac:dyDescent="0.3">
      <c r="A83" s="2">
        <v>15</v>
      </c>
      <c r="B83" s="22">
        <v>46164</v>
      </c>
      <c r="C83" s="5">
        <f>'ABERTURA INDICE'!H65+'DOLAR ABERTURA'!G61+'DOLAR RED'!F63+'DI ABERTURA'!G66</f>
        <v>308.5</v>
      </c>
      <c r="D83" s="4">
        <f t="shared" si="2"/>
        <v>25579.8</v>
      </c>
    </row>
    <row r="84" spans="1:4" x14ac:dyDescent="0.3">
      <c r="A84" s="2">
        <v>16</v>
      </c>
      <c r="B84" s="22">
        <v>46167</v>
      </c>
      <c r="C84" s="5">
        <f>'ABERTURA INDICE'!H66+'DOLAR ABERTURA'!G62+'DOLAR RED'!F64+'DI ABERTURA'!G67</f>
        <v>8368.4</v>
      </c>
      <c r="D84" s="4">
        <f t="shared" si="2"/>
        <v>33948.199999999997</v>
      </c>
    </row>
    <row r="85" spans="1:4" x14ac:dyDescent="0.3">
      <c r="A85" s="2">
        <v>17</v>
      </c>
      <c r="B85" s="22">
        <v>46168</v>
      </c>
      <c r="C85" s="5">
        <f>'DOLAR ABERTURA'!G63+'DOLAR RED'!F65+'DI ABERTURA'!G68</f>
        <v>2123.4</v>
      </c>
      <c r="D85" s="4">
        <f t="shared" si="2"/>
        <v>36071.599999999999</v>
      </c>
    </row>
    <row r="86" spans="1:4" x14ac:dyDescent="0.3">
      <c r="A86" s="2">
        <v>18</v>
      </c>
      <c r="B86" s="22">
        <v>46169</v>
      </c>
      <c r="C86" s="5">
        <f>'ABERTURA INDICE'!H67+'DOLAR ABERTURA'!G64+'DOLAR RED'!F66+'DI ABERTURA'!G69</f>
        <v>5733.4</v>
      </c>
      <c r="D86" s="4">
        <f t="shared" si="2"/>
        <v>41805</v>
      </c>
    </row>
    <row r="87" spans="1:4" x14ac:dyDescent="0.3">
      <c r="A87" s="2">
        <v>19</v>
      </c>
      <c r="B87" s="22">
        <v>46170</v>
      </c>
      <c r="C87" s="5">
        <f>'ABERTURA INDICE'!H68+'DOLAR ABERTURA'!G65+'DOLAR RED'!F67+'DI ABERTURA'!G70</f>
        <v>1808.4</v>
      </c>
      <c r="D87" s="4">
        <f t="shared" si="2"/>
        <v>43613.4</v>
      </c>
    </row>
    <row r="88" spans="1:4" x14ac:dyDescent="0.3">
      <c r="A88" s="2">
        <v>20</v>
      </c>
      <c r="B88" s="22">
        <v>46171</v>
      </c>
      <c r="C88" s="5">
        <f>'ABERTURA INDICE'!H69+'DOLAR ABERTURA'!G66+'DOLAR RED'!F68+'DI ABERTURA'!G71</f>
        <v>-3296.5</v>
      </c>
      <c r="D88" s="4">
        <f t="shared" si="2"/>
        <v>40316.9</v>
      </c>
    </row>
    <row r="89" spans="1:4" ht="15.6" x14ac:dyDescent="0.3">
      <c r="C89" s="27">
        <f>SUM(C69:C88)</f>
        <v>40316.9</v>
      </c>
    </row>
  </sheetData>
  <mergeCells count="24">
    <mergeCell ref="B63:C63"/>
    <mergeCell ref="B64:C64"/>
    <mergeCell ref="B65:C65"/>
    <mergeCell ref="B68:D68"/>
    <mergeCell ref="K4:M4"/>
    <mergeCell ref="K5:L5"/>
    <mergeCell ref="K6:L6"/>
    <mergeCell ref="K7:L7"/>
    <mergeCell ref="K8:L8"/>
    <mergeCell ref="K11:M11"/>
    <mergeCell ref="B30:D30"/>
    <mergeCell ref="B31:C31"/>
    <mergeCell ref="B32:C32"/>
    <mergeCell ref="B33:C33"/>
    <mergeCell ref="B34:C34"/>
    <mergeCell ref="B37:E37"/>
    <mergeCell ref="B1:D1"/>
    <mergeCell ref="B8:D8"/>
    <mergeCell ref="B61:D61"/>
    <mergeCell ref="B62:C62"/>
    <mergeCell ref="B2:C2"/>
    <mergeCell ref="B3:C3"/>
    <mergeCell ref="B4:C4"/>
    <mergeCell ref="B5:C5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Planilha4</vt:lpstr>
      <vt:lpstr>ABERTURA INDICE</vt:lpstr>
      <vt:lpstr>DOLAR ABERTURA</vt:lpstr>
      <vt:lpstr>DOLAR RED</vt:lpstr>
      <vt:lpstr>DI ABERTURA</vt:lpstr>
      <vt:lpstr>RED INDICE</vt:lpstr>
      <vt:lpstr>RELATORO PERFORMACE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Pereira de Aquino Filho</dc:creator>
  <cp:lastModifiedBy>Francisco Pereira de Aquino Filho</cp:lastModifiedBy>
  <dcterms:created xsi:type="dcterms:W3CDTF">2026-05-29T18:34:29Z</dcterms:created>
  <dcterms:modified xsi:type="dcterms:W3CDTF">2026-06-22T19:42:32Z</dcterms:modified>
</cp:coreProperties>
</file>