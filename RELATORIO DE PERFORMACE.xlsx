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\Desktop\ESTUDOS\"/>
    </mc:Choice>
  </mc:AlternateContent>
  <xr:revisionPtr revIDLastSave="0" documentId="13_ncr:1_{592A3892-5095-40A1-B3D4-DA91CA0F2BBD}" xr6:coauthVersionLast="47" xr6:coauthVersionMax="47" xr10:uidLastSave="{00000000-0000-0000-0000-000000000000}"/>
  <bookViews>
    <workbookView xWindow="-108" yWindow="-108" windowWidth="23256" windowHeight="12456" firstSheet="1" activeTab="5" xr2:uid="{B1C3B051-BED5-4DAB-B89B-5DC685DA5B01}"/>
  </bookViews>
  <sheets>
    <sheet name="Planilha4" sheetId="4" r:id="rId1"/>
    <sheet name="ABERTURA INDICE" sheetId="7" r:id="rId2"/>
    <sheet name="DOLAR ABERTURA" sheetId="8" r:id="rId3"/>
    <sheet name="DOLAR RED" sheetId="9" r:id="rId4"/>
    <sheet name="DI ABERTURA" sheetId="11" r:id="rId5"/>
    <sheet name="RELATORO PERFORMACE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10" l="1"/>
  <c r="D63" i="10"/>
  <c r="D62" i="10"/>
  <c r="D61" i="10"/>
  <c r="C87" i="10"/>
  <c r="C86" i="10"/>
  <c r="D86" i="10" s="1"/>
  <c r="D85" i="10"/>
  <c r="D84" i="10"/>
  <c r="C84" i="10"/>
  <c r="C85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D68" i="10" s="1"/>
  <c r="D4" i="10"/>
  <c r="D5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G81" i="11"/>
  <c r="F80" i="9"/>
  <c r="G77" i="8"/>
  <c r="G71" i="11"/>
  <c r="G66" i="8"/>
  <c r="F70" i="9"/>
  <c r="D56" i="10"/>
  <c r="D55" i="10"/>
  <c r="D54" i="10"/>
  <c r="D53" i="10"/>
  <c r="D52" i="10"/>
  <c r="D51" i="10"/>
  <c r="D50" i="10"/>
  <c r="D49" i="10"/>
  <c r="D48" i="10"/>
  <c r="D47" i="10"/>
  <c r="D42" i="10"/>
  <c r="D46" i="10"/>
  <c r="D45" i="10"/>
  <c r="D44" i="10"/>
  <c r="D43" i="10"/>
  <c r="D41" i="10"/>
  <c r="D40" i="10"/>
  <c r="D39" i="10"/>
  <c r="D38" i="10"/>
  <c r="D37" i="10"/>
  <c r="E37" i="10" s="1"/>
  <c r="D34" i="10"/>
  <c r="G47" i="11"/>
  <c r="F46" i="9"/>
  <c r="D33" i="10" s="1"/>
  <c r="G42" i="8"/>
  <c r="D32" i="10" s="1"/>
  <c r="D2" i="10"/>
  <c r="D6" i="10" s="1"/>
  <c r="G23" i="11"/>
  <c r="F23" i="9"/>
  <c r="G23" i="8"/>
  <c r="D3" i="10" s="1"/>
  <c r="J27" i="7"/>
  <c r="K3" i="7"/>
  <c r="H75" i="7"/>
  <c r="J50" i="7" s="1"/>
  <c r="H48" i="7"/>
  <c r="D31" i="10" s="1"/>
  <c r="H25" i="7"/>
  <c r="H40" i="4"/>
  <c r="H39" i="4"/>
  <c r="H38" i="4"/>
  <c r="H37" i="4"/>
  <c r="H36" i="4"/>
  <c r="H35" i="4"/>
  <c r="H33" i="4"/>
  <c r="L3" i="4" s="1"/>
  <c r="H32" i="4"/>
  <c r="K3" i="4" s="1"/>
  <c r="H31" i="4"/>
  <c r="H34" i="4"/>
  <c r="H27" i="4"/>
  <c r="H26" i="4"/>
  <c r="H25" i="4"/>
  <c r="H24" i="4"/>
  <c r="H23" i="4"/>
  <c r="H22" i="4"/>
  <c r="H21" i="4"/>
  <c r="H20" i="4"/>
  <c r="H19" i="4"/>
  <c r="H18" i="4"/>
  <c r="H13" i="4"/>
  <c r="D87" i="10" l="1"/>
  <c r="D65" i="10"/>
  <c r="C28" i="10"/>
  <c r="D69" i="10"/>
  <c r="D70" i="10" s="1"/>
  <c r="D71" i="10" s="1"/>
  <c r="D72" i="10" s="1"/>
  <c r="D73" i="10" s="1"/>
  <c r="D74" i="10" s="1"/>
  <c r="D75" i="10" s="1"/>
  <c r="D76" i="10" s="1"/>
  <c r="D77" i="10" s="1"/>
  <c r="D78" i="10" s="1"/>
  <c r="D79" i="10" s="1"/>
  <c r="D80" i="10" s="1"/>
  <c r="D81" i="10" s="1"/>
  <c r="D82" i="10" s="1"/>
  <c r="D83" i="10" s="1"/>
  <c r="C88" i="10"/>
  <c r="D9" i="10"/>
  <c r="D10" i="10" s="1"/>
  <c r="D11" i="10" s="1"/>
  <c r="D12" i="10" s="1"/>
  <c r="D13" i="10" s="1"/>
  <c r="D14" i="10" s="1"/>
  <c r="D15" i="10" s="1"/>
  <c r="D16" i="10" s="1"/>
  <c r="D17" i="10" s="1"/>
  <c r="D18" i="10" s="1"/>
  <c r="D19" i="10" s="1"/>
  <c r="D20" i="10" s="1"/>
  <c r="D21" i="10" s="1"/>
  <c r="D22" i="10" s="1"/>
  <c r="D23" i="10" s="1"/>
  <c r="D24" i="10" s="1"/>
  <c r="D25" i="10" s="1"/>
  <c r="D26" i="10" s="1"/>
  <c r="D27" i="10" s="1"/>
  <c r="E38" i="10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D35" i="10"/>
  <c r="P3" i="4"/>
  <c r="S3" i="4"/>
  <c r="R3" i="4"/>
  <c r="Q3" i="4"/>
  <c r="O3" i="4"/>
  <c r="H41" i="4"/>
  <c r="J3" i="4"/>
  <c r="M3" i="4"/>
  <c r="H28" i="4"/>
  <c r="N3" i="4"/>
  <c r="E56" i="10" l="1"/>
  <c r="H45" i="4"/>
  <c r="U3" i="4"/>
</calcChain>
</file>

<file path=xl/sharedStrings.xml><?xml version="1.0" encoding="utf-8"?>
<sst xmlns="http://schemas.openxmlformats.org/spreadsheetml/2006/main" count="1099" uniqueCount="24">
  <si>
    <t>COMPRA</t>
  </si>
  <si>
    <t>VENDA</t>
  </si>
  <si>
    <t>STOP</t>
  </si>
  <si>
    <t>OK</t>
  </si>
  <si>
    <t>NÃO</t>
  </si>
  <si>
    <t>DOLAR ABERTURA</t>
  </si>
  <si>
    <t>CONTRATOS</t>
  </si>
  <si>
    <t>PARCIAL 1</t>
  </si>
  <si>
    <t>INDICE ABERTURA</t>
  </si>
  <si>
    <t>PARCIAL 2</t>
  </si>
  <si>
    <t>RED DOLAR</t>
  </si>
  <si>
    <t>ALVO FINAL</t>
  </si>
  <si>
    <t>ABERTURA INDICE</t>
  </si>
  <si>
    <t>0X0</t>
  </si>
  <si>
    <t>16//03/2026</t>
  </si>
  <si>
    <t>INABILITADO</t>
  </si>
  <si>
    <t>O</t>
  </si>
  <si>
    <t>ABERTURA DOLAR</t>
  </si>
  <si>
    <t>RESUMO DE MARÇO</t>
  </si>
  <si>
    <t>ABERTURA DI</t>
  </si>
  <si>
    <t>RESUMO DE ABRIL</t>
  </si>
  <si>
    <t>COMPRRA</t>
  </si>
  <si>
    <t>INABILITOU</t>
  </si>
  <si>
    <t>RESUMO DE 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</si>
</sst>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.5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6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/>
    <xf numFmtId="164" fontId="5" fillId="0" borderId="0" xfId="0" applyNumberFormat="1" applyFont="1" applyAlignment="1">
      <alignment horizontal="center"/>
    </xf>
    <xf numFmtId="14" fontId="4" fillId="0" borderId="0" xfId="0" applyNumberFormat="1" applyFont="1"/>
    <xf numFmtId="164" fontId="7" fillId="0" borderId="0" xfId="0" applyNumberFormat="1" applyFont="1" applyAlignment="1">
      <alignment horizontal="center"/>
    </xf>
    <xf numFmtId="164" fontId="8" fillId="0" borderId="0" xfId="0" applyNumberFormat="1" applyFont="1"/>
    <xf numFmtId="164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10" fillId="0" borderId="0" xfId="0" applyNumberFormat="1" applyFont="1"/>
    <xf numFmtId="164" fontId="1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/>
    <xf numFmtId="164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330D-AD98-4BD3-8AE7-DB95404F935E}">
  <dimension ref="A1:U48"/>
  <sheetViews>
    <sheetView workbookViewId="0">
      <selection activeCell="J2" sqref="J2:S2"/>
    </sheetView>
  </sheetViews>
  <sheetFormatPr defaultRowHeight="14.4" x14ac:dyDescent="0.3"/>
  <cols>
    <col min="1" max="1" width="9.109375" bestFit="1" customWidth="1"/>
    <col min="2" max="2" width="8.109375" bestFit="1" customWidth="1"/>
    <col min="3" max="3" width="6.6640625" bestFit="1" customWidth="1"/>
    <col min="4" max="4" width="4.33203125" bestFit="1" customWidth="1"/>
    <col min="5" max="6" width="7.44140625" bestFit="1" customWidth="1"/>
    <col min="7" max="7" width="8.5546875" bestFit="1" customWidth="1"/>
    <col min="8" max="8" width="9.21875" bestFit="1" customWidth="1"/>
    <col min="9" max="9" width="3.6640625" customWidth="1"/>
    <col min="10" max="10" width="8.33203125" bestFit="1" customWidth="1"/>
    <col min="11" max="11" width="8.88671875" bestFit="1" customWidth="1"/>
    <col min="12" max="14" width="8.33203125" bestFit="1" customWidth="1"/>
    <col min="15" max="17" width="8.88671875" bestFit="1" customWidth="1"/>
    <col min="18" max="19" width="8.33203125" bestFit="1" customWidth="1"/>
    <col min="21" max="21" width="11.5546875" bestFit="1" customWidth="1"/>
  </cols>
  <sheetData>
    <row r="1" spans="1:21" x14ac:dyDescent="0.3">
      <c r="A1" s="8" t="s">
        <v>6</v>
      </c>
      <c r="B1" s="8">
        <v>14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x14ac:dyDescent="0.3">
      <c r="A2" s="21" t="s">
        <v>8</v>
      </c>
      <c r="B2" s="21"/>
      <c r="C2" s="21"/>
      <c r="D2" s="8" t="s">
        <v>2</v>
      </c>
      <c r="E2" s="8" t="s">
        <v>7</v>
      </c>
      <c r="F2" s="8" t="s">
        <v>9</v>
      </c>
      <c r="G2" s="8" t="s">
        <v>11</v>
      </c>
      <c r="H2" s="8"/>
      <c r="I2" s="8"/>
      <c r="J2" s="10">
        <v>46162</v>
      </c>
      <c r="K2" s="10">
        <v>46163</v>
      </c>
      <c r="L2" s="10">
        <v>46164</v>
      </c>
      <c r="M2" s="10">
        <v>46167</v>
      </c>
      <c r="N2" s="10">
        <v>46169</v>
      </c>
      <c r="O2" s="10">
        <v>46170</v>
      </c>
      <c r="P2" s="10">
        <v>46171</v>
      </c>
      <c r="Q2" s="10">
        <v>46174</v>
      </c>
      <c r="R2" s="10">
        <v>46175</v>
      </c>
      <c r="S2" s="10">
        <v>46176</v>
      </c>
      <c r="T2" s="9"/>
      <c r="U2" s="9"/>
    </row>
    <row r="3" spans="1:21" x14ac:dyDescent="0.3">
      <c r="A3" s="8">
        <v>1</v>
      </c>
      <c r="B3" s="11">
        <v>46162</v>
      </c>
      <c r="C3" s="8" t="s">
        <v>0</v>
      </c>
      <c r="D3" s="8" t="s">
        <v>4</v>
      </c>
      <c r="E3" s="8" t="s">
        <v>3</v>
      </c>
      <c r="F3" s="8" t="s">
        <v>3</v>
      </c>
      <c r="G3" s="8" t="s">
        <v>3</v>
      </c>
      <c r="H3" s="12">
        <v>2160</v>
      </c>
      <c r="I3" s="8"/>
      <c r="J3" s="13">
        <f>H3+H18+H31</f>
        <v>2205</v>
      </c>
      <c r="K3" s="13">
        <f>H4+H19+H32</f>
        <v>-1635</v>
      </c>
      <c r="L3" s="13">
        <f>H5+H20+H33</f>
        <v>2505</v>
      </c>
      <c r="M3" s="13">
        <f>H6+H21+H34</f>
        <v>2670</v>
      </c>
      <c r="N3" s="13">
        <f>H7+H22+H35</f>
        <v>2505</v>
      </c>
      <c r="O3" s="13">
        <f>H8+H23+H36</f>
        <v>-1635</v>
      </c>
      <c r="P3" s="13">
        <f>H9+H24+H37</f>
        <v>-1200</v>
      </c>
      <c r="Q3" s="13">
        <f>H10+H25+H38</f>
        <v>-1200</v>
      </c>
      <c r="R3" s="13">
        <f>H11+H26+H39</f>
        <v>2505</v>
      </c>
      <c r="S3" s="13">
        <f>H12+H27+H40</f>
        <v>3915</v>
      </c>
      <c r="T3" s="9"/>
      <c r="U3" s="17">
        <f>SUM(J3:T3)</f>
        <v>10635</v>
      </c>
    </row>
    <row r="4" spans="1:21" x14ac:dyDescent="0.3">
      <c r="A4" s="8">
        <v>2</v>
      </c>
      <c r="B4" s="11">
        <v>46163</v>
      </c>
      <c r="C4" s="8" t="s">
        <v>1</v>
      </c>
      <c r="D4" s="8" t="s">
        <v>3</v>
      </c>
      <c r="E4" s="8" t="s">
        <v>4</v>
      </c>
      <c r="F4" s="8" t="s">
        <v>4</v>
      </c>
      <c r="G4" s="8" t="s">
        <v>4</v>
      </c>
      <c r="H4" s="12">
        <v>-1680</v>
      </c>
      <c r="I4" s="8"/>
      <c r="J4" s="9"/>
      <c r="K4" s="13"/>
      <c r="L4" s="9"/>
      <c r="M4" s="9"/>
      <c r="N4" s="9"/>
      <c r="O4" s="9"/>
      <c r="P4" s="9"/>
      <c r="Q4" s="9"/>
      <c r="R4" s="9"/>
      <c r="S4" s="9"/>
      <c r="T4" s="9"/>
      <c r="U4" s="13"/>
    </row>
    <row r="5" spans="1:21" x14ac:dyDescent="0.3">
      <c r="A5" s="8">
        <v>3</v>
      </c>
      <c r="B5" s="11">
        <v>46164</v>
      </c>
      <c r="C5" s="8" t="s">
        <v>0</v>
      </c>
      <c r="D5" s="8" t="s">
        <v>4</v>
      </c>
      <c r="E5" s="8" t="s">
        <v>3</v>
      </c>
      <c r="F5" s="8" t="s">
        <v>4</v>
      </c>
      <c r="G5" s="8" t="s">
        <v>4</v>
      </c>
      <c r="H5" s="12">
        <v>210</v>
      </c>
      <c r="I5" s="8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x14ac:dyDescent="0.3">
      <c r="A6" s="8">
        <v>4</v>
      </c>
      <c r="B6" s="11">
        <v>46167</v>
      </c>
      <c r="C6" s="8" t="s">
        <v>0</v>
      </c>
      <c r="D6" s="8" t="s">
        <v>4</v>
      </c>
      <c r="E6" s="8" t="s">
        <v>3</v>
      </c>
      <c r="F6" s="8" t="s">
        <v>3</v>
      </c>
      <c r="G6" s="8" t="s">
        <v>4</v>
      </c>
      <c r="H6" s="12">
        <v>810</v>
      </c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x14ac:dyDescent="0.3">
      <c r="A7" s="8">
        <v>5</v>
      </c>
      <c r="B7" s="11">
        <v>46169</v>
      </c>
      <c r="C7" s="8" t="s">
        <v>1</v>
      </c>
      <c r="D7" s="8" t="s">
        <v>4</v>
      </c>
      <c r="E7" s="8" t="s">
        <v>3</v>
      </c>
      <c r="F7" s="8" t="s">
        <v>4</v>
      </c>
      <c r="G7" s="8" t="s">
        <v>4</v>
      </c>
      <c r="H7" s="12">
        <v>210</v>
      </c>
      <c r="I7" s="8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x14ac:dyDescent="0.3">
      <c r="A8" s="8">
        <v>6</v>
      </c>
      <c r="B8" s="11">
        <v>46170</v>
      </c>
      <c r="C8" s="8" t="s">
        <v>1</v>
      </c>
      <c r="D8" s="8" t="s">
        <v>3</v>
      </c>
      <c r="E8" s="8" t="s">
        <v>4</v>
      </c>
      <c r="F8" s="8" t="s">
        <v>4</v>
      </c>
      <c r="G8" s="8" t="s">
        <v>4</v>
      </c>
      <c r="H8" s="12">
        <v>-1680</v>
      </c>
      <c r="I8" s="8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x14ac:dyDescent="0.3">
      <c r="A9" s="8">
        <v>7</v>
      </c>
      <c r="B9" s="11">
        <v>46171</v>
      </c>
      <c r="C9" s="8" t="s">
        <v>1</v>
      </c>
      <c r="D9" s="8" t="s">
        <v>4</v>
      </c>
      <c r="E9" s="8" t="s">
        <v>3</v>
      </c>
      <c r="F9" s="8" t="s">
        <v>3</v>
      </c>
      <c r="G9" s="8" t="s">
        <v>4</v>
      </c>
      <c r="H9" s="12">
        <v>810</v>
      </c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x14ac:dyDescent="0.3">
      <c r="A10" s="8">
        <v>8</v>
      </c>
      <c r="B10" s="11">
        <v>46174</v>
      </c>
      <c r="C10" s="8" t="s">
        <v>0</v>
      </c>
      <c r="D10" s="8" t="s">
        <v>4</v>
      </c>
      <c r="E10" s="8" t="s">
        <v>3</v>
      </c>
      <c r="F10" s="8" t="s">
        <v>3</v>
      </c>
      <c r="G10" s="8" t="s">
        <v>4</v>
      </c>
      <c r="H10" s="12">
        <v>810</v>
      </c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x14ac:dyDescent="0.3">
      <c r="A11" s="8">
        <v>9</v>
      </c>
      <c r="B11" s="11">
        <v>46175</v>
      </c>
      <c r="C11" s="8" t="s">
        <v>0</v>
      </c>
      <c r="D11" s="8" t="s">
        <v>4</v>
      </c>
      <c r="E11" s="8" t="s">
        <v>3</v>
      </c>
      <c r="F11" s="8" t="s">
        <v>4</v>
      </c>
      <c r="G11" s="8" t="s">
        <v>4</v>
      </c>
      <c r="H11" s="12">
        <v>210</v>
      </c>
      <c r="I11" s="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3">
      <c r="A12" s="8">
        <v>10</v>
      </c>
      <c r="B12" s="11">
        <v>46176</v>
      </c>
      <c r="C12" s="8" t="s">
        <v>1</v>
      </c>
      <c r="D12" s="8" t="s">
        <v>4</v>
      </c>
      <c r="E12" s="8" t="s">
        <v>3</v>
      </c>
      <c r="F12" s="8" t="s">
        <v>3</v>
      </c>
      <c r="G12" s="8" t="s">
        <v>3</v>
      </c>
      <c r="H12" s="12">
        <v>2160</v>
      </c>
      <c r="I12" s="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x14ac:dyDescent="0.3">
      <c r="A13" s="8"/>
      <c r="B13" s="8"/>
      <c r="C13" s="8"/>
      <c r="D13" s="8"/>
      <c r="E13" s="8"/>
      <c r="F13" s="8"/>
      <c r="G13" s="8"/>
      <c r="H13" s="14">
        <f>SUM(H3:H12)</f>
        <v>4020</v>
      </c>
      <c r="I13" s="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x14ac:dyDescent="0.3">
      <c r="A14" s="8"/>
      <c r="B14" s="8"/>
      <c r="C14" s="8"/>
      <c r="D14" s="8"/>
      <c r="E14" s="8"/>
      <c r="F14" s="8"/>
      <c r="G14" s="8"/>
      <c r="H14" s="8"/>
      <c r="I14" s="8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x14ac:dyDescent="0.3">
      <c r="A15" s="8"/>
      <c r="B15" s="8"/>
      <c r="C15" s="8"/>
      <c r="D15" s="8"/>
      <c r="E15" s="8"/>
      <c r="F15" s="8"/>
      <c r="G15" s="8"/>
      <c r="H15" s="8"/>
      <c r="I15" s="8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x14ac:dyDescent="0.3">
      <c r="A16" s="8" t="s">
        <v>6</v>
      </c>
      <c r="B16" s="8">
        <v>18</v>
      </c>
      <c r="C16" s="8"/>
      <c r="D16" s="8" t="s">
        <v>2</v>
      </c>
      <c r="E16" s="8" t="s">
        <v>7</v>
      </c>
      <c r="F16" s="8"/>
      <c r="G16" s="8" t="s">
        <v>11</v>
      </c>
      <c r="H16" s="8"/>
      <c r="I16" s="8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x14ac:dyDescent="0.3">
      <c r="A17" s="21" t="s">
        <v>5</v>
      </c>
      <c r="B17" s="21"/>
      <c r="C17" s="21"/>
      <c r="D17" s="8"/>
      <c r="E17" s="8"/>
      <c r="F17" s="8"/>
      <c r="G17" s="8"/>
      <c r="H17" s="12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x14ac:dyDescent="0.3">
      <c r="A18" s="8">
        <v>1</v>
      </c>
      <c r="B18" s="11">
        <v>46162</v>
      </c>
      <c r="C18" s="8" t="s">
        <v>1</v>
      </c>
      <c r="D18" s="8" t="s">
        <v>3</v>
      </c>
      <c r="E18" s="8"/>
      <c r="F18" s="8"/>
      <c r="G18" s="8" t="s">
        <v>4</v>
      </c>
      <c r="H18" s="12">
        <f>-B16*12*10</f>
        <v>-2160</v>
      </c>
      <c r="I18" s="8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x14ac:dyDescent="0.3">
      <c r="A19" s="8">
        <v>2</v>
      </c>
      <c r="B19" s="11">
        <v>46163</v>
      </c>
      <c r="C19" s="8" t="s">
        <v>0</v>
      </c>
      <c r="D19" s="8" t="s">
        <v>3</v>
      </c>
      <c r="E19" s="8"/>
      <c r="F19" s="8"/>
      <c r="G19" s="8" t="s">
        <v>4</v>
      </c>
      <c r="H19" s="12">
        <f>-B16*12*10</f>
        <v>-2160</v>
      </c>
      <c r="I19" s="8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x14ac:dyDescent="0.3">
      <c r="A20" s="8">
        <v>3</v>
      </c>
      <c r="B20" s="11">
        <v>46164</v>
      </c>
      <c r="C20" s="8" t="s">
        <v>1</v>
      </c>
      <c r="D20" s="8" t="s">
        <v>4</v>
      </c>
      <c r="E20" s="8" t="s">
        <v>3</v>
      </c>
      <c r="F20" s="8"/>
      <c r="G20" s="8"/>
      <c r="H20" s="12">
        <f>B16*10*0.5</f>
        <v>90</v>
      </c>
      <c r="I20" s="8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x14ac:dyDescent="0.3">
      <c r="A21" s="8">
        <v>4</v>
      </c>
      <c r="B21" s="11">
        <v>46167</v>
      </c>
      <c r="C21" s="8" t="s">
        <v>1</v>
      </c>
      <c r="D21" s="8" t="s">
        <v>4</v>
      </c>
      <c r="E21" s="8" t="s">
        <v>3</v>
      </c>
      <c r="F21" s="8"/>
      <c r="G21" s="8" t="s">
        <v>3</v>
      </c>
      <c r="H21" s="12">
        <f>B16*22*10</f>
        <v>3960</v>
      </c>
      <c r="I21" s="8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x14ac:dyDescent="0.3">
      <c r="A22" s="8">
        <v>5</v>
      </c>
      <c r="B22" s="11">
        <v>46169</v>
      </c>
      <c r="C22" s="8" t="s">
        <v>0</v>
      </c>
      <c r="D22" s="8" t="s">
        <v>4</v>
      </c>
      <c r="E22" s="8" t="s">
        <v>3</v>
      </c>
      <c r="F22" s="8"/>
      <c r="G22" s="8"/>
      <c r="H22" s="12">
        <f>B16*10*0.5</f>
        <v>90</v>
      </c>
      <c r="I22" s="8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x14ac:dyDescent="0.3">
      <c r="A23" s="8">
        <v>6</v>
      </c>
      <c r="B23" s="11">
        <v>46170</v>
      </c>
      <c r="C23" s="8" t="s">
        <v>0</v>
      </c>
      <c r="D23" s="8" t="s">
        <v>3</v>
      </c>
      <c r="E23" s="8"/>
      <c r="F23" s="8"/>
      <c r="G23" s="8" t="s">
        <v>4</v>
      </c>
      <c r="H23" s="12">
        <f>-B16*10*12</f>
        <v>-2160</v>
      </c>
      <c r="I23" s="8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x14ac:dyDescent="0.3">
      <c r="A24" s="8">
        <v>7</v>
      </c>
      <c r="B24" s="11">
        <v>46171</v>
      </c>
      <c r="C24" s="8" t="s">
        <v>0</v>
      </c>
      <c r="D24" s="8" t="s">
        <v>4</v>
      </c>
      <c r="E24" s="8" t="s">
        <v>3</v>
      </c>
      <c r="F24" s="8"/>
      <c r="G24" s="8" t="s">
        <v>4</v>
      </c>
      <c r="H24" s="12">
        <f>B16*10*0.5</f>
        <v>90</v>
      </c>
      <c r="I24" s="8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x14ac:dyDescent="0.3">
      <c r="A25" s="8">
        <v>8</v>
      </c>
      <c r="B25" s="11">
        <v>46174</v>
      </c>
      <c r="C25" s="8" t="s">
        <v>1</v>
      </c>
      <c r="D25" s="8" t="s">
        <v>4</v>
      </c>
      <c r="E25" s="8" t="s">
        <v>3</v>
      </c>
      <c r="F25" s="8"/>
      <c r="G25" s="8" t="s">
        <v>4</v>
      </c>
      <c r="H25" s="12">
        <f>B16*10*0.5</f>
        <v>90</v>
      </c>
      <c r="I25" s="8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x14ac:dyDescent="0.3">
      <c r="A26" s="8">
        <v>9</v>
      </c>
      <c r="B26" s="11">
        <v>46175</v>
      </c>
      <c r="C26" s="8" t="s">
        <v>1</v>
      </c>
      <c r="D26" s="8" t="s">
        <v>4</v>
      </c>
      <c r="E26" s="8" t="s">
        <v>3</v>
      </c>
      <c r="F26" s="8"/>
      <c r="G26" s="8" t="s">
        <v>4</v>
      </c>
      <c r="H26" s="12">
        <f>B16*10*0.5</f>
        <v>90</v>
      </c>
      <c r="I26" s="8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 x14ac:dyDescent="0.3">
      <c r="A27" s="8">
        <v>10</v>
      </c>
      <c r="B27" s="11">
        <v>46176</v>
      </c>
      <c r="C27" s="8" t="s">
        <v>0</v>
      </c>
      <c r="D27" s="8" t="s">
        <v>4</v>
      </c>
      <c r="E27" s="8" t="s">
        <v>3</v>
      </c>
      <c r="F27" s="8"/>
      <c r="G27" s="8" t="s">
        <v>3</v>
      </c>
      <c r="H27" s="12">
        <f>B16*10*22</f>
        <v>3960</v>
      </c>
      <c r="I27" s="8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 x14ac:dyDescent="0.3">
      <c r="A28" s="8"/>
      <c r="B28" s="8"/>
      <c r="C28" s="8"/>
      <c r="D28" s="8"/>
      <c r="E28" s="8"/>
      <c r="F28" s="8"/>
      <c r="G28" s="8"/>
      <c r="H28" s="14">
        <f>SUM(H18:H27)</f>
        <v>1890</v>
      </c>
      <c r="I28" s="8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1" x14ac:dyDescent="0.3">
      <c r="A29" s="8" t="s">
        <v>6</v>
      </c>
      <c r="B29" s="8">
        <v>21</v>
      </c>
      <c r="C29" s="8"/>
      <c r="D29" s="8"/>
      <c r="E29" s="8"/>
      <c r="F29" s="8"/>
      <c r="G29" s="8"/>
      <c r="H29" s="12"/>
      <c r="I29" s="8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1" x14ac:dyDescent="0.3">
      <c r="A30" s="22" t="s">
        <v>10</v>
      </c>
      <c r="B30" s="22"/>
      <c r="C30" s="22"/>
      <c r="D30" s="8"/>
      <c r="E30" s="8"/>
      <c r="F30" s="8"/>
      <c r="G30" s="8"/>
      <c r="H30" s="12"/>
      <c r="I30" s="8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x14ac:dyDescent="0.3">
      <c r="A31" s="8">
        <v>1</v>
      </c>
      <c r="B31" s="15">
        <v>46162</v>
      </c>
      <c r="C31" s="9" t="s">
        <v>0</v>
      </c>
      <c r="D31" s="9" t="s">
        <v>4</v>
      </c>
      <c r="E31" s="9"/>
      <c r="F31" s="9"/>
      <c r="G31" s="9" t="s">
        <v>3</v>
      </c>
      <c r="H31" s="12">
        <f>B29*10.5*10</f>
        <v>2205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x14ac:dyDescent="0.3">
      <c r="A32" s="8">
        <v>2</v>
      </c>
      <c r="B32" s="15">
        <v>46163</v>
      </c>
      <c r="C32" s="9" t="s">
        <v>0</v>
      </c>
      <c r="D32" s="9" t="s">
        <v>4</v>
      </c>
      <c r="E32" s="9"/>
      <c r="F32" s="9"/>
      <c r="G32" s="9" t="s">
        <v>3</v>
      </c>
      <c r="H32" s="12">
        <f>B29*10.5*10</f>
        <v>2205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x14ac:dyDescent="0.3">
      <c r="A33" s="8">
        <v>3</v>
      </c>
      <c r="B33" s="15">
        <v>46164</v>
      </c>
      <c r="C33" s="9" t="s">
        <v>0</v>
      </c>
      <c r="D33" s="9" t="s">
        <v>4</v>
      </c>
      <c r="E33" s="9"/>
      <c r="F33" s="9"/>
      <c r="G33" s="9" t="s">
        <v>3</v>
      </c>
      <c r="H33" s="12">
        <f>B29*10.5*10</f>
        <v>2205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x14ac:dyDescent="0.3">
      <c r="A34" s="8">
        <v>4</v>
      </c>
      <c r="B34" s="15">
        <v>46167</v>
      </c>
      <c r="C34" s="9" t="s">
        <v>0</v>
      </c>
      <c r="D34" s="9" t="s">
        <v>3</v>
      </c>
      <c r="E34" s="9"/>
      <c r="F34" s="9"/>
      <c r="G34" s="9" t="s">
        <v>4</v>
      </c>
      <c r="H34" s="12">
        <f>-B29*10*10</f>
        <v>-2100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x14ac:dyDescent="0.3">
      <c r="A35" s="8">
        <v>5</v>
      </c>
      <c r="B35" s="15">
        <v>46169</v>
      </c>
      <c r="C35" s="9" t="s">
        <v>1</v>
      </c>
      <c r="D35" s="9" t="s">
        <v>4</v>
      </c>
      <c r="E35" s="9"/>
      <c r="F35" s="9"/>
      <c r="G35" s="9" t="s">
        <v>3</v>
      </c>
      <c r="H35" s="12">
        <f>B29*10.5*10</f>
        <v>2205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x14ac:dyDescent="0.3">
      <c r="A36" s="8">
        <v>6</v>
      </c>
      <c r="B36" s="15">
        <v>46170</v>
      </c>
      <c r="C36" s="9" t="s">
        <v>1</v>
      </c>
      <c r="D36" s="9" t="s">
        <v>4</v>
      </c>
      <c r="E36" s="9"/>
      <c r="F36" s="9"/>
      <c r="G36" s="9" t="s">
        <v>3</v>
      </c>
      <c r="H36" s="12">
        <f>B29*10.5*10</f>
        <v>2205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x14ac:dyDescent="0.3">
      <c r="A37" s="8">
        <v>7</v>
      </c>
      <c r="B37" s="15">
        <v>46171</v>
      </c>
      <c r="C37" s="9" t="s">
        <v>1</v>
      </c>
      <c r="D37" s="9" t="s">
        <v>3</v>
      </c>
      <c r="E37" s="9"/>
      <c r="F37" s="9"/>
      <c r="G37" s="9" t="s">
        <v>4</v>
      </c>
      <c r="H37" s="12">
        <f>-B29*10*10</f>
        <v>-2100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x14ac:dyDescent="0.3">
      <c r="A38" s="8">
        <v>8</v>
      </c>
      <c r="B38" s="15">
        <v>46174</v>
      </c>
      <c r="C38" s="9" t="s">
        <v>0</v>
      </c>
      <c r="D38" s="9" t="s">
        <v>3</v>
      </c>
      <c r="E38" s="9"/>
      <c r="F38" s="9"/>
      <c r="G38" s="9" t="s">
        <v>4</v>
      </c>
      <c r="H38" s="12">
        <f>-B29*10*10</f>
        <v>-2100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x14ac:dyDescent="0.3">
      <c r="A39" s="8">
        <v>9</v>
      </c>
      <c r="B39" s="15">
        <v>46175</v>
      </c>
      <c r="C39" s="9" t="s">
        <v>0</v>
      </c>
      <c r="D39" s="9" t="s">
        <v>4</v>
      </c>
      <c r="E39" s="9"/>
      <c r="F39" s="9"/>
      <c r="G39" s="9" t="s">
        <v>3</v>
      </c>
      <c r="H39" s="12">
        <f>B29*10.5*10</f>
        <v>2205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x14ac:dyDescent="0.3">
      <c r="A40" s="8">
        <v>10</v>
      </c>
      <c r="B40" s="15">
        <v>46176</v>
      </c>
      <c r="C40" s="9" t="s">
        <v>1</v>
      </c>
      <c r="D40" s="9" t="s">
        <v>3</v>
      </c>
      <c r="E40" s="9"/>
      <c r="F40" s="9"/>
      <c r="G40" s="9" t="s">
        <v>4</v>
      </c>
      <c r="H40" s="12">
        <f>-B29*10.5*10</f>
        <v>-2205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 x14ac:dyDescent="0.3">
      <c r="A41" s="9"/>
      <c r="B41" s="9"/>
      <c r="C41" s="9"/>
      <c r="D41" s="9"/>
      <c r="E41" s="9"/>
      <c r="F41" s="9"/>
      <c r="G41" s="9"/>
      <c r="H41" s="14">
        <f>SUM(H31:H40)</f>
        <v>4725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x14ac:dyDescent="0.3">
      <c r="A42" s="9"/>
      <c r="B42" s="9"/>
      <c r="C42" s="9"/>
      <c r="D42" s="9"/>
      <c r="E42" s="9"/>
      <c r="F42" s="9"/>
      <c r="G42" s="9"/>
      <c r="H42" s="1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1:21" x14ac:dyDescent="0.3">
      <c r="A43" s="9"/>
      <c r="B43" s="9"/>
      <c r="C43" s="9"/>
      <c r="D43" s="9"/>
      <c r="E43" s="9"/>
      <c r="F43" s="9"/>
      <c r="G43" s="9"/>
      <c r="H43" s="1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spans="1:21" x14ac:dyDescent="0.3">
      <c r="A44" s="9"/>
      <c r="B44" s="9"/>
      <c r="C44" s="9"/>
      <c r="D44" s="9"/>
      <c r="E44" s="9"/>
      <c r="F44" s="9"/>
      <c r="G44" s="9"/>
      <c r="H44" s="12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spans="1:21" x14ac:dyDescent="0.3">
      <c r="A45" s="9"/>
      <c r="B45" s="9"/>
      <c r="C45" s="9"/>
      <c r="D45" s="9"/>
      <c r="E45" s="9"/>
      <c r="F45" s="9"/>
      <c r="G45" s="9"/>
      <c r="H45" s="16">
        <f>H13+H28+H41</f>
        <v>10635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spans="1:21" x14ac:dyDescent="0.3">
      <c r="A46" s="9"/>
      <c r="B46" s="9"/>
      <c r="C46" s="9"/>
      <c r="D46" s="9"/>
      <c r="E46" s="9"/>
      <c r="F46" s="9"/>
      <c r="G46" s="9"/>
      <c r="H46" s="13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</sheetData>
  <mergeCells count="3">
    <mergeCell ref="A2:C2"/>
    <mergeCell ref="A17:C17"/>
    <mergeCell ref="A30:C30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8701-14F8-47F0-B906-7CD691D2E32F}">
  <dimension ref="A1:O93"/>
  <sheetViews>
    <sheetView topLeftCell="A52" workbookViewId="0">
      <selection activeCell="H65" sqref="H65"/>
    </sheetView>
  </sheetViews>
  <sheetFormatPr defaultRowHeight="14.4" x14ac:dyDescent="0.3"/>
  <cols>
    <col min="1" max="1" width="10" bestFit="1" customWidth="1"/>
    <col min="2" max="2" width="11.109375" bestFit="1" customWidth="1"/>
    <col min="3" max="4" width="10.6640625" bestFit="1" customWidth="1"/>
    <col min="7" max="7" width="9.88671875" bestFit="1" customWidth="1"/>
    <col min="8" max="8" width="11.5546875" bestFit="1" customWidth="1"/>
    <col min="14" max="14" width="11.109375" bestFit="1" customWidth="1"/>
  </cols>
  <sheetData>
    <row r="1" spans="1:15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x14ac:dyDescent="0.3">
      <c r="A2" s="24" t="s">
        <v>6</v>
      </c>
      <c r="B2" s="24">
        <v>21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x14ac:dyDescent="0.3">
      <c r="A3" s="25" t="s">
        <v>8</v>
      </c>
      <c r="B3" s="25"/>
      <c r="C3" s="25"/>
      <c r="D3" s="24" t="s">
        <v>2</v>
      </c>
      <c r="E3" s="24" t="s">
        <v>7</v>
      </c>
      <c r="F3" s="24" t="s">
        <v>9</v>
      </c>
      <c r="G3" s="24" t="s">
        <v>11</v>
      </c>
      <c r="H3" s="24"/>
      <c r="I3" s="23"/>
      <c r="J3" s="23"/>
      <c r="K3" s="28">
        <f>H25/19</f>
        <v>618.9473684210526</v>
      </c>
      <c r="L3" s="23"/>
      <c r="M3" s="23"/>
      <c r="N3" s="23"/>
      <c r="O3" s="23"/>
    </row>
    <row r="4" spans="1:15" x14ac:dyDescent="0.3">
      <c r="A4" s="24"/>
      <c r="B4" s="24"/>
      <c r="C4" s="24"/>
      <c r="D4" s="24"/>
      <c r="E4" s="24"/>
      <c r="F4" s="24"/>
      <c r="G4" s="24"/>
      <c r="H4" s="24"/>
      <c r="I4" s="23"/>
      <c r="J4" s="23"/>
      <c r="K4" s="23"/>
      <c r="L4" s="23"/>
      <c r="M4" s="23"/>
      <c r="N4" s="23"/>
      <c r="O4" s="23"/>
    </row>
    <row r="5" spans="1:15" x14ac:dyDescent="0.3">
      <c r="A5" s="24">
        <v>1</v>
      </c>
      <c r="B5" s="26">
        <v>46085</v>
      </c>
      <c r="C5" s="24" t="s">
        <v>0</v>
      </c>
      <c r="D5" s="24" t="s">
        <v>4</v>
      </c>
      <c r="E5" s="24" t="s">
        <v>3</v>
      </c>
      <c r="F5" s="24" t="s">
        <v>3</v>
      </c>
      <c r="G5" s="24" t="s">
        <v>3</v>
      </c>
      <c r="H5" s="27">
        <v>4130</v>
      </c>
      <c r="I5" s="23"/>
      <c r="J5" s="23"/>
      <c r="K5" s="23"/>
      <c r="L5" s="23"/>
      <c r="M5" s="23"/>
      <c r="N5" s="23"/>
      <c r="O5" s="23"/>
    </row>
    <row r="6" spans="1:15" x14ac:dyDescent="0.3">
      <c r="A6" s="24">
        <v>2</v>
      </c>
      <c r="B6" s="26">
        <v>46086</v>
      </c>
      <c r="C6" s="24" t="s">
        <v>0</v>
      </c>
      <c r="D6" s="24" t="s">
        <v>3</v>
      </c>
      <c r="E6" s="24" t="s">
        <v>4</v>
      </c>
      <c r="F6" s="24" t="s">
        <v>4</v>
      </c>
      <c r="G6" s="24" t="s">
        <v>4</v>
      </c>
      <c r="H6" s="29">
        <v>-2520</v>
      </c>
      <c r="I6" s="23"/>
      <c r="J6" s="23"/>
      <c r="K6" s="23"/>
      <c r="L6" s="23"/>
      <c r="M6" s="23"/>
      <c r="N6" s="23"/>
      <c r="O6" s="23"/>
    </row>
    <row r="7" spans="1:15" x14ac:dyDescent="0.3">
      <c r="A7" s="24">
        <v>3</v>
      </c>
      <c r="B7" s="26">
        <v>46087</v>
      </c>
      <c r="C7" s="24" t="s">
        <v>1</v>
      </c>
      <c r="D7" s="24" t="s">
        <v>3</v>
      </c>
      <c r="E7" s="24" t="s">
        <v>4</v>
      </c>
      <c r="F7" s="24" t="s">
        <v>4</v>
      </c>
      <c r="G7" s="24" t="s">
        <v>4</v>
      </c>
      <c r="H7" s="29">
        <v>-2520</v>
      </c>
      <c r="I7" s="23"/>
      <c r="J7" s="23"/>
      <c r="K7" s="23"/>
      <c r="L7" s="23"/>
      <c r="M7" s="23"/>
      <c r="N7" s="23"/>
      <c r="O7" s="23"/>
    </row>
    <row r="8" spans="1:15" x14ac:dyDescent="0.3">
      <c r="A8" s="24">
        <v>4</v>
      </c>
      <c r="B8" s="26">
        <v>46090</v>
      </c>
      <c r="C8" s="24" t="s">
        <v>1</v>
      </c>
      <c r="D8" s="24" t="s">
        <v>3</v>
      </c>
      <c r="E8" s="24" t="s">
        <v>4</v>
      </c>
      <c r="F8" s="24" t="s">
        <v>4</v>
      </c>
      <c r="G8" s="24" t="s">
        <v>4</v>
      </c>
      <c r="H8" s="29">
        <v>-2520</v>
      </c>
      <c r="I8" s="23"/>
      <c r="J8" s="23"/>
      <c r="K8" s="23"/>
      <c r="L8" s="23"/>
      <c r="M8" s="23"/>
      <c r="N8" s="23"/>
      <c r="O8" s="23"/>
    </row>
    <row r="9" spans="1:15" x14ac:dyDescent="0.3">
      <c r="A9" s="24">
        <v>5</v>
      </c>
      <c r="B9" s="26">
        <v>46091</v>
      </c>
      <c r="C9" s="24" t="s">
        <v>0</v>
      </c>
      <c r="D9" s="24" t="s">
        <v>4</v>
      </c>
      <c r="E9" s="24" t="s">
        <v>3</v>
      </c>
      <c r="F9" s="24" t="s">
        <v>3</v>
      </c>
      <c r="G9" s="24" t="s">
        <v>4</v>
      </c>
      <c r="H9" s="27">
        <v>910</v>
      </c>
      <c r="I9" s="23"/>
      <c r="J9" s="23"/>
      <c r="K9" s="23"/>
      <c r="L9" s="23"/>
      <c r="M9" s="23"/>
      <c r="N9" s="23"/>
      <c r="O9" s="23"/>
    </row>
    <row r="10" spans="1:15" x14ac:dyDescent="0.3">
      <c r="A10" s="24">
        <v>6</v>
      </c>
      <c r="B10" s="26">
        <v>46092</v>
      </c>
      <c r="C10" s="24" t="s">
        <v>0</v>
      </c>
      <c r="D10" s="24" t="s">
        <v>4</v>
      </c>
      <c r="E10" s="24" t="s">
        <v>3</v>
      </c>
      <c r="F10" s="24" t="s">
        <v>4</v>
      </c>
      <c r="G10" s="24" t="s">
        <v>4</v>
      </c>
      <c r="H10" s="27">
        <v>280</v>
      </c>
      <c r="I10" s="23"/>
      <c r="J10" s="23"/>
      <c r="K10" s="23"/>
      <c r="L10" s="23"/>
      <c r="M10" s="23"/>
      <c r="N10" s="23"/>
      <c r="O10" s="23"/>
    </row>
    <row r="11" spans="1:15" x14ac:dyDescent="0.3">
      <c r="A11" s="24">
        <v>7</v>
      </c>
      <c r="B11" s="26">
        <v>46093</v>
      </c>
      <c r="C11" s="24" t="s">
        <v>1</v>
      </c>
      <c r="D11" s="24" t="s">
        <v>4</v>
      </c>
      <c r="E11" s="24" t="s">
        <v>3</v>
      </c>
      <c r="F11" s="24" t="s">
        <v>3</v>
      </c>
      <c r="G11" s="24" t="s">
        <v>3</v>
      </c>
      <c r="H11" s="27">
        <v>4130</v>
      </c>
      <c r="I11" s="23"/>
      <c r="J11" s="23"/>
      <c r="K11" s="23"/>
      <c r="L11" s="23"/>
      <c r="M11" s="23"/>
      <c r="N11" s="23"/>
      <c r="O11" s="23"/>
    </row>
    <row r="12" spans="1:15" x14ac:dyDescent="0.3">
      <c r="A12" s="24">
        <v>8</v>
      </c>
      <c r="B12" s="26">
        <v>46094</v>
      </c>
      <c r="C12" s="24" t="s">
        <v>1</v>
      </c>
      <c r="D12" s="24" t="s">
        <v>4</v>
      </c>
      <c r="E12" s="24" t="s">
        <v>3</v>
      </c>
      <c r="F12" s="24" t="s">
        <v>3</v>
      </c>
      <c r="G12" s="24" t="s">
        <v>4</v>
      </c>
      <c r="H12" s="27">
        <v>910</v>
      </c>
      <c r="I12" s="23"/>
      <c r="J12" s="23"/>
      <c r="K12" s="23"/>
      <c r="L12" s="23"/>
      <c r="M12" s="23"/>
      <c r="N12" s="23"/>
      <c r="O12" s="23"/>
    </row>
    <row r="13" spans="1:15" x14ac:dyDescent="0.3">
      <c r="A13" s="24">
        <v>9</v>
      </c>
      <c r="B13" s="24" t="s">
        <v>14</v>
      </c>
      <c r="C13" s="24" t="s">
        <v>0</v>
      </c>
      <c r="D13" s="24" t="s">
        <v>4</v>
      </c>
      <c r="E13" s="24" t="s">
        <v>3</v>
      </c>
      <c r="F13" s="24" t="s">
        <v>3</v>
      </c>
      <c r="G13" s="24" t="s">
        <v>4</v>
      </c>
      <c r="H13" s="27">
        <v>910</v>
      </c>
      <c r="I13" s="23"/>
      <c r="J13" s="23"/>
      <c r="K13" s="23"/>
      <c r="L13" s="23"/>
      <c r="M13" s="23"/>
      <c r="N13" s="23"/>
      <c r="O13" s="23"/>
    </row>
    <row r="14" spans="1:15" x14ac:dyDescent="0.3">
      <c r="A14" s="24">
        <v>10</v>
      </c>
      <c r="B14" s="26">
        <v>46099</v>
      </c>
      <c r="C14" s="24" t="s">
        <v>0</v>
      </c>
      <c r="D14" s="24" t="s">
        <v>3</v>
      </c>
      <c r="E14" s="24" t="s">
        <v>4</v>
      </c>
      <c r="F14" s="24" t="s">
        <v>4</v>
      </c>
      <c r="G14" s="24" t="s">
        <v>4</v>
      </c>
      <c r="H14" s="29">
        <v>-2520</v>
      </c>
      <c r="I14" s="23"/>
      <c r="J14" s="23"/>
      <c r="K14" s="23"/>
      <c r="L14" s="23"/>
      <c r="M14" s="23"/>
      <c r="N14" s="23"/>
      <c r="O14" s="23"/>
    </row>
    <row r="15" spans="1:15" x14ac:dyDescent="0.3">
      <c r="A15" s="24">
        <v>11</v>
      </c>
      <c r="B15" s="26">
        <v>46100</v>
      </c>
      <c r="C15" s="24" t="s">
        <v>1</v>
      </c>
      <c r="D15" s="24" t="s">
        <v>4</v>
      </c>
      <c r="E15" s="24" t="s">
        <v>3</v>
      </c>
      <c r="F15" s="24" t="s">
        <v>3</v>
      </c>
      <c r="G15" s="24" t="s">
        <v>4</v>
      </c>
      <c r="H15" s="27">
        <v>910</v>
      </c>
      <c r="I15" s="23"/>
      <c r="J15" s="23"/>
      <c r="K15" s="23"/>
      <c r="L15" s="23"/>
      <c r="M15" s="23"/>
      <c r="N15" s="23"/>
      <c r="O15" s="23"/>
    </row>
    <row r="16" spans="1:15" x14ac:dyDescent="0.3">
      <c r="A16" s="24">
        <v>12</v>
      </c>
      <c r="B16" s="26">
        <v>46101</v>
      </c>
      <c r="C16" s="24" t="s">
        <v>1</v>
      </c>
      <c r="D16" s="24" t="s">
        <v>4</v>
      </c>
      <c r="E16" s="24" t="s">
        <v>3</v>
      </c>
      <c r="F16" s="24" t="s">
        <v>4</v>
      </c>
      <c r="G16" s="24" t="s">
        <v>4</v>
      </c>
      <c r="H16" s="27">
        <v>280</v>
      </c>
      <c r="I16" s="23"/>
      <c r="J16" s="23"/>
      <c r="K16" s="23"/>
      <c r="L16" s="23"/>
      <c r="M16" s="23"/>
      <c r="N16" s="23"/>
      <c r="O16" s="23"/>
    </row>
    <row r="17" spans="1:15" x14ac:dyDescent="0.3">
      <c r="A17" s="24">
        <v>13</v>
      </c>
      <c r="B17" s="26">
        <v>46104</v>
      </c>
      <c r="C17" s="24" t="s">
        <v>1</v>
      </c>
      <c r="D17" s="24" t="s">
        <v>4</v>
      </c>
      <c r="E17" s="24" t="s">
        <v>3</v>
      </c>
      <c r="F17" s="24" t="s">
        <v>3</v>
      </c>
      <c r="G17" s="24" t="s">
        <v>4</v>
      </c>
      <c r="H17" s="27">
        <v>910</v>
      </c>
      <c r="I17" s="23"/>
      <c r="J17" s="23"/>
      <c r="K17" s="23"/>
      <c r="L17" s="23"/>
      <c r="M17" s="23"/>
      <c r="N17" s="23"/>
      <c r="O17" s="23"/>
    </row>
    <row r="18" spans="1:15" x14ac:dyDescent="0.3">
      <c r="A18" s="24">
        <v>14</v>
      </c>
      <c r="B18" s="26">
        <v>46105</v>
      </c>
      <c r="C18" s="24" t="s">
        <v>1</v>
      </c>
      <c r="D18" s="24" t="s">
        <v>4</v>
      </c>
      <c r="E18" s="24" t="s">
        <v>3</v>
      </c>
      <c r="F18" s="24" t="s">
        <v>3</v>
      </c>
      <c r="G18" s="24" t="s">
        <v>3</v>
      </c>
      <c r="H18" s="27">
        <v>4130</v>
      </c>
      <c r="I18" s="23"/>
      <c r="J18" s="23"/>
      <c r="K18" s="23"/>
      <c r="L18" s="23"/>
      <c r="M18" s="23"/>
      <c r="N18" s="23"/>
      <c r="O18" s="23"/>
    </row>
    <row r="19" spans="1:15" x14ac:dyDescent="0.3">
      <c r="A19" s="24">
        <v>15</v>
      </c>
      <c r="B19" s="26">
        <v>46106</v>
      </c>
      <c r="C19" s="24" t="s">
        <v>0</v>
      </c>
      <c r="D19" s="24" t="s">
        <v>4</v>
      </c>
      <c r="E19" s="24" t="s">
        <v>3</v>
      </c>
      <c r="F19" s="24" t="s">
        <v>3</v>
      </c>
      <c r="G19" s="24" t="s">
        <v>4</v>
      </c>
      <c r="H19" s="27">
        <v>910</v>
      </c>
      <c r="I19" s="23"/>
      <c r="J19" s="23"/>
      <c r="K19" s="23"/>
      <c r="L19" s="23"/>
      <c r="M19" s="23"/>
      <c r="N19" s="23"/>
      <c r="O19" s="23"/>
    </row>
    <row r="20" spans="1:15" x14ac:dyDescent="0.3">
      <c r="A20" s="24">
        <v>16</v>
      </c>
      <c r="B20" s="26">
        <v>46107</v>
      </c>
      <c r="C20" s="24" t="s">
        <v>1</v>
      </c>
      <c r="D20" s="24" t="s">
        <v>4</v>
      </c>
      <c r="E20" s="24" t="s">
        <v>3</v>
      </c>
      <c r="F20" s="24" t="s">
        <v>3</v>
      </c>
      <c r="G20" s="24" t="s">
        <v>4</v>
      </c>
      <c r="H20" s="27">
        <v>910</v>
      </c>
      <c r="I20" s="23"/>
      <c r="J20" s="23"/>
      <c r="K20" s="23"/>
      <c r="L20" s="23"/>
      <c r="M20" s="23"/>
      <c r="N20" s="23"/>
      <c r="O20" s="23"/>
    </row>
    <row r="21" spans="1:15" x14ac:dyDescent="0.3">
      <c r="A21" s="24">
        <v>17</v>
      </c>
      <c r="B21" s="26">
        <v>46108</v>
      </c>
      <c r="C21" s="24" t="s">
        <v>1</v>
      </c>
      <c r="D21" s="24" t="s">
        <v>4</v>
      </c>
      <c r="E21" s="24" t="s">
        <v>3</v>
      </c>
      <c r="F21" s="24" t="s">
        <v>3</v>
      </c>
      <c r="G21" s="24" t="s">
        <v>4</v>
      </c>
      <c r="H21" s="27">
        <v>910</v>
      </c>
      <c r="I21" s="23"/>
      <c r="J21" s="23"/>
      <c r="K21" s="23"/>
      <c r="L21" s="23"/>
      <c r="M21" s="23"/>
      <c r="N21" s="23"/>
      <c r="O21" s="23"/>
    </row>
    <row r="22" spans="1:15" x14ac:dyDescent="0.3">
      <c r="A22" s="24">
        <v>18</v>
      </c>
      <c r="B22" s="26">
        <v>46111</v>
      </c>
      <c r="C22" s="24" t="s">
        <v>0</v>
      </c>
      <c r="D22" s="24" t="s">
        <v>3</v>
      </c>
      <c r="E22" s="24" t="s">
        <v>4</v>
      </c>
      <c r="F22" s="24" t="s">
        <v>4</v>
      </c>
      <c r="G22" s="24" t="s">
        <v>4</v>
      </c>
      <c r="H22" s="29">
        <v>-2520</v>
      </c>
      <c r="I22" s="23"/>
      <c r="J22" s="23"/>
      <c r="K22" s="23"/>
      <c r="L22" s="23"/>
      <c r="M22" s="23"/>
      <c r="N22" s="23"/>
      <c r="O22" s="23"/>
    </row>
    <row r="23" spans="1:15" x14ac:dyDescent="0.3">
      <c r="A23" s="24">
        <v>19</v>
      </c>
      <c r="B23" s="26">
        <v>46112</v>
      </c>
      <c r="C23" s="24" t="s">
        <v>0</v>
      </c>
      <c r="D23" s="24" t="s">
        <v>4</v>
      </c>
      <c r="E23" s="24" t="s">
        <v>3</v>
      </c>
      <c r="F23" s="24" t="s">
        <v>3</v>
      </c>
      <c r="G23" s="24" t="s">
        <v>3</v>
      </c>
      <c r="H23" s="27">
        <v>4130</v>
      </c>
      <c r="I23" s="23"/>
      <c r="J23" s="23"/>
      <c r="K23" s="23"/>
      <c r="L23" s="23"/>
      <c r="M23" s="23"/>
      <c r="N23" s="23"/>
      <c r="O23" s="23"/>
    </row>
    <row r="24" spans="1:15" x14ac:dyDescent="0.3">
      <c r="A24" s="24"/>
      <c r="B24" s="26"/>
      <c r="C24" s="24"/>
      <c r="D24" s="24"/>
      <c r="E24" s="24"/>
      <c r="F24" s="24"/>
      <c r="G24" s="24"/>
      <c r="H24" s="27"/>
      <c r="I24" s="23"/>
      <c r="J24" s="23"/>
      <c r="K24" s="23"/>
      <c r="L24" s="23"/>
      <c r="M24" s="23"/>
      <c r="N24" s="23"/>
      <c r="O24" s="23"/>
    </row>
    <row r="25" spans="1:15" x14ac:dyDescent="0.3">
      <c r="A25" s="24"/>
      <c r="B25" s="24"/>
      <c r="C25" s="24"/>
      <c r="D25" s="24"/>
      <c r="E25" s="24"/>
      <c r="F25" s="24"/>
      <c r="G25" s="24"/>
      <c r="H25" s="30">
        <f>SUM(H5:H23)</f>
        <v>11760</v>
      </c>
      <c r="I25" s="23"/>
      <c r="J25" s="23"/>
      <c r="K25" s="23"/>
      <c r="L25" s="23"/>
      <c r="M25" s="23"/>
      <c r="N25" s="23"/>
      <c r="O25" s="23"/>
    </row>
    <row r="26" spans="1:15" x14ac:dyDescent="0.3">
      <c r="A26" s="24"/>
      <c r="B26" s="24"/>
      <c r="C26" s="24"/>
      <c r="D26" s="24"/>
      <c r="E26" s="24"/>
      <c r="F26" s="24"/>
      <c r="G26" s="24"/>
      <c r="H26" s="27"/>
      <c r="I26" s="23"/>
      <c r="J26" s="23"/>
      <c r="K26" s="23"/>
      <c r="L26" s="23"/>
      <c r="M26" s="23"/>
      <c r="N26" s="23"/>
      <c r="O26" s="23"/>
    </row>
    <row r="27" spans="1:15" x14ac:dyDescent="0.3">
      <c r="A27" s="24"/>
      <c r="B27" s="24"/>
      <c r="C27" s="24"/>
      <c r="D27" s="24" t="s">
        <v>2</v>
      </c>
      <c r="E27" s="24" t="s">
        <v>7</v>
      </c>
      <c r="F27" s="24" t="s">
        <v>9</v>
      </c>
      <c r="G27" s="24" t="s">
        <v>11</v>
      </c>
      <c r="H27" s="27"/>
      <c r="I27" s="23"/>
      <c r="J27" s="28">
        <f>H48/20</f>
        <v>213.5</v>
      </c>
      <c r="K27" s="23"/>
      <c r="L27" s="23"/>
      <c r="M27" s="23"/>
      <c r="N27" s="23"/>
      <c r="O27" s="23"/>
    </row>
    <row r="28" spans="1:15" x14ac:dyDescent="0.3">
      <c r="A28" s="24">
        <v>1</v>
      </c>
      <c r="B28" s="26">
        <v>46113</v>
      </c>
      <c r="C28" s="24" t="s">
        <v>0</v>
      </c>
      <c r="D28" s="24" t="s">
        <v>4</v>
      </c>
      <c r="E28" s="24" t="s">
        <v>3</v>
      </c>
      <c r="F28" s="24" t="s">
        <v>4</v>
      </c>
      <c r="G28" s="24" t="s">
        <v>4</v>
      </c>
      <c r="H28" s="27">
        <v>280</v>
      </c>
      <c r="I28" s="23"/>
      <c r="J28" s="23"/>
      <c r="K28" s="23"/>
      <c r="L28" s="23"/>
      <c r="M28" s="23"/>
      <c r="N28" s="23"/>
      <c r="O28" s="23"/>
    </row>
    <row r="29" spans="1:15" x14ac:dyDescent="0.3">
      <c r="A29" s="24">
        <v>2</v>
      </c>
      <c r="B29" s="26">
        <v>46114</v>
      </c>
      <c r="C29" s="24" t="s">
        <v>1</v>
      </c>
      <c r="D29" s="24" t="s">
        <v>4</v>
      </c>
      <c r="E29" s="24" t="s">
        <v>3</v>
      </c>
      <c r="F29" s="24" t="s">
        <v>3</v>
      </c>
      <c r="G29" s="24" t="s">
        <v>4</v>
      </c>
      <c r="H29" s="27">
        <v>910</v>
      </c>
      <c r="I29" s="23"/>
      <c r="J29" s="23"/>
      <c r="K29" s="23"/>
      <c r="L29" s="23"/>
      <c r="M29" s="23"/>
      <c r="N29" s="23"/>
      <c r="O29" s="23"/>
    </row>
    <row r="30" spans="1:15" x14ac:dyDescent="0.3">
      <c r="A30" s="24">
        <v>3</v>
      </c>
      <c r="B30" s="26">
        <v>46118</v>
      </c>
      <c r="C30" s="24" t="s">
        <v>0</v>
      </c>
      <c r="D30" s="24" t="s">
        <v>4</v>
      </c>
      <c r="E30" s="24" t="s">
        <v>3</v>
      </c>
      <c r="F30" s="24" t="s">
        <v>3</v>
      </c>
      <c r="G30" s="24" t="s">
        <v>4</v>
      </c>
      <c r="H30" s="27">
        <v>910</v>
      </c>
      <c r="I30" s="23"/>
      <c r="J30" s="23"/>
      <c r="K30" s="23"/>
      <c r="L30" s="23"/>
      <c r="M30" s="23"/>
      <c r="N30" s="23"/>
      <c r="O30" s="23"/>
    </row>
    <row r="31" spans="1:15" x14ac:dyDescent="0.3">
      <c r="A31" s="24">
        <v>4</v>
      </c>
      <c r="B31" s="26">
        <v>46119</v>
      </c>
      <c r="C31" s="24" t="s">
        <v>0</v>
      </c>
      <c r="D31" s="24" t="s">
        <v>4</v>
      </c>
      <c r="E31" s="24" t="s">
        <v>3</v>
      </c>
      <c r="F31" s="24" t="s">
        <v>3</v>
      </c>
      <c r="G31" s="24" t="s">
        <v>4</v>
      </c>
      <c r="H31" s="27">
        <v>910</v>
      </c>
      <c r="I31" s="23"/>
      <c r="J31" s="23"/>
      <c r="K31" s="23"/>
      <c r="L31" s="23"/>
      <c r="M31" s="23"/>
      <c r="N31" s="23"/>
      <c r="O31" s="23"/>
    </row>
    <row r="32" spans="1:15" x14ac:dyDescent="0.3">
      <c r="A32" s="24">
        <v>5</v>
      </c>
      <c r="B32" s="26">
        <v>46120</v>
      </c>
      <c r="C32" s="24" t="s">
        <v>0</v>
      </c>
      <c r="D32" s="24" t="s">
        <v>4</v>
      </c>
      <c r="E32" s="24" t="s">
        <v>3</v>
      </c>
      <c r="F32" s="24" t="s">
        <v>3</v>
      </c>
      <c r="G32" s="24" t="s">
        <v>4</v>
      </c>
      <c r="H32" s="27">
        <v>910</v>
      </c>
      <c r="I32" s="23"/>
      <c r="J32" s="23"/>
      <c r="K32" s="23"/>
      <c r="L32" s="23"/>
      <c r="M32" s="23"/>
      <c r="N32" s="23"/>
      <c r="O32" s="23"/>
    </row>
    <row r="33" spans="1:15" x14ac:dyDescent="0.3">
      <c r="A33" s="24">
        <v>6</v>
      </c>
      <c r="B33" s="26">
        <v>46121</v>
      </c>
      <c r="C33" s="24" t="s">
        <v>1</v>
      </c>
      <c r="D33" s="24" t="s">
        <v>15</v>
      </c>
      <c r="E33" s="24"/>
      <c r="F33" s="24"/>
      <c r="G33" s="24"/>
      <c r="H33" s="27"/>
      <c r="I33" s="23"/>
      <c r="J33" s="23"/>
      <c r="K33" s="23"/>
      <c r="L33" s="23"/>
      <c r="M33" s="23"/>
      <c r="N33" s="23"/>
      <c r="O33" s="23"/>
    </row>
    <row r="34" spans="1:15" x14ac:dyDescent="0.3">
      <c r="A34" s="24">
        <v>7</v>
      </c>
      <c r="B34" s="26">
        <v>46122</v>
      </c>
      <c r="C34" s="24" t="s">
        <v>0</v>
      </c>
      <c r="D34" s="24" t="s">
        <v>4</v>
      </c>
      <c r="E34" s="24" t="s">
        <v>3</v>
      </c>
      <c r="F34" s="24" t="s">
        <v>3</v>
      </c>
      <c r="G34" s="24" t="s">
        <v>4</v>
      </c>
      <c r="H34" s="27">
        <v>910</v>
      </c>
      <c r="I34" s="23"/>
      <c r="J34" s="23"/>
      <c r="K34" s="23"/>
      <c r="L34" s="23"/>
      <c r="M34" s="23"/>
      <c r="N34" s="23"/>
      <c r="O34" s="23"/>
    </row>
    <row r="35" spans="1:15" x14ac:dyDescent="0.3">
      <c r="A35" s="24">
        <v>8</v>
      </c>
      <c r="B35" s="26">
        <v>46125</v>
      </c>
      <c r="C35" s="24" t="s">
        <v>1</v>
      </c>
      <c r="D35" s="24" t="s">
        <v>4</v>
      </c>
      <c r="E35" s="24" t="s">
        <v>3</v>
      </c>
      <c r="F35" s="24" t="s">
        <v>3</v>
      </c>
      <c r="G35" s="24" t="s">
        <v>4</v>
      </c>
      <c r="H35" s="27">
        <v>910</v>
      </c>
      <c r="I35" s="23"/>
      <c r="J35" s="23"/>
      <c r="K35" s="23"/>
      <c r="L35" s="23"/>
      <c r="M35" s="23"/>
      <c r="N35" s="23"/>
      <c r="O35" s="23"/>
    </row>
    <row r="36" spans="1:15" x14ac:dyDescent="0.3">
      <c r="A36" s="24">
        <v>9</v>
      </c>
      <c r="B36" s="26">
        <v>46126</v>
      </c>
      <c r="C36" s="24" t="s">
        <v>0</v>
      </c>
      <c r="D36" s="24" t="s">
        <v>4</v>
      </c>
      <c r="E36" s="24" t="s">
        <v>3</v>
      </c>
      <c r="F36" s="24" t="s">
        <v>3</v>
      </c>
      <c r="G36" s="24" t="s">
        <v>4</v>
      </c>
      <c r="H36" s="27">
        <v>910</v>
      </c>
      <c r="I36" s="23"/>
      <c r="J36" s="23"/>
      <c r="K36" s="23"/>
      <c r="L36" s="23"/>
      <c r="M36" s="23"/>
      <c r="N36" s="23"/>
      <c r="O36" s="23"/>
    </row>
    <row r="37" spans="1:15" x14ac:dyDescent="0.3">
      <c r="A37" s="24">
        <v>10</v>
      </c>
      <c r="B37" s="26">
        <v>46127</v>
      </c>
      <c r="C37" s="24" t="s">
        <v>0</v>
      </c>
      <c r="D37" s="24" t="s">
        <v>15</v>
      </c>
      <c r="E37" s="24"/>
      <c r="F37" s="24"/>
      <c r="G37" s="24"/>
      <c r="H37" s="27"/>
      <c r="I37" s="23"/>
      <c r="J37" s="23"/>
      <c r="K37" s="23"/>
      <c r="L37" s="23"/>
      <c r="M37" s="23"/>
      <c r="N37" s="23"/>
      <c r="O37" s="23"/>
    </row>
    <row r="38" spans="1:15" x14ac:dyDescent="0.3">
      <c r="A38" s="24">
        <v>11</v>
      </c>
      <c r="B38" s="26">
        <v>46128</v>
      </c>
      <c r="C38" s="24" t="s">
        <v>0</v>
      </c>
      <c r="D38" s="24" t="s">
        <v>15</v>
      </c>
      <c r="E38" s="24"/>
      <c r="F38" s="24"/>
      <c r="G38" s="24"/>
      <c r="H38" s="27"/>
      <c r="I38" s="23"/>
      <c r="J38" s="23"/>
      <c r="K38" s="23"/>
      <c r="L38" s="23"/>
      <c r="M38" s="23"/>
      <c r="N38" s="23"/>
      <c r="O38" s="23"/>
    </row>
    <row r="39" spans="1:15" x14ac:dyDescent="0.3">
      <c r="A39" s="24">
        <v>12</v>
      </c>
      <c r="B39" s="26">
        <v>46129</v>
      </c>
      <c r="C39" s="24" t="s">
        <v>0</v>
      </c>
      <c r="D39" s="24" t="s">
        <v>4</v>
      </c>
      <c r="E39" s="24" t="s">
        <v>3</v>
      </c>
      <c r="F39" s="24" t="s">
        <v>3</v>
      </c>
      <c r="G39" s="24" t="s">
        <v>4</v>
      </c>
      <c r="H39" s="27">
        <v>910</v>
      </c>
      <c r="I39" s="23"/>
      <c r="J39" s="23"/>
      <c r="K39" s="23"/>
      <c r="L39" s="23"/>
      <c r="M39" s="23"/>
      <c r="N39" s="23"/>
      <c r="O39" s="23"/>
    </row>
    <row r="40" spans="1:15" x14ac:dyDescent="0.3">
      <c r="A40" s="24">
        <v>13</v>
      </c>
      <c r="B40" s="26">
        <v>46132</v>
      </c>
      <c r="C40" s="24" t="s">
        <v>1</v>
      </c>
      <c r="D40" s="24" t="s">
        <v>4</v>
      </c>
      <c r="E40" s="24" t="s">
        <v>3</v>
      </c>
      <c r="F40" s="24" t="s">
        <v>4</v>
      </c>
      <c r="G40" s="24" t="s">
        <v>4</v>
      </c>
      <c r="H40" s="27">
        <v>280</v>
      </c>
      <c r="I40" s="23"/>
      <c r="J40" s="23"/>
      <c r="K40" s="23"/>
      <c r="L40" s="23"/>
      <c r="M40" s="23"/>
      <c r="N40" s="23"/>
      <c r="O40" s="23"/>
    </row>
    <row r="41" spans="1:15" x14ac:dyDescent="0.3">
      <c r="A41" s="24">
        <v>14</v>
      </c>
      <c r="B41" s="26">
        <v>46134</v>
      </c>
      <c r="C41" s="24" t="s">
        <v>0</v>
      </c>
      <c r="D41" s="24" t="s">
        <v>3</v>
      </c>
      <c r="E41" s="24" t="s">
        <v>4</v>
      </c>
      <c r="F41" s="24" t="s">
        <v>4</v>
      </c>
      <c r="G41" s="24" t="s">
        <v>4</v>
      </c>
      <c r="H41" s="29">
        <v>-2520</v>
      </c>
      <c r="I41" s="23"/>
      <c r="J41" s="23"/>
      <c r="K41" s="23"/>
      <c r="L41" s="23"/>
      <c r="M41" s="23"/>
      <c r="N41" s="23"/>
      <c r="O41" s="23"/>
    </row>
    <row r="42" spans="1:15" x14ac:dyDescent="0.3">
      <c r="A42" s="24">
        <v>15</v>
      </c>
      <c r="B42" s="26">
        <v>46135</v>
      </c>
      <c r="C42" s="24" t="s">
        <v>1</v>
      </c>
      <c r="D42" s="24" t="s">
        <v>4</v>
      </c>
      <c r="E42" s="24" t="s">
        <v>3</v>
      </c>
      <c r="F42" s="24" t="s">
        <v>4</v>
      </c>
      <c r="G42" s="24" t="s">
        <v>4</v>
      </c>
      <c r="H42" s="27">
        <v>280</v>
      </c>
      <c r="I42" s="23"/>
      <c r="J42" s="23"/>
      <c r="K42" s="23"/>
      <c r="L42" s="23"/>
      <c r="M42" s="23"/>
      <c r="N42" s="23"/>
      <c r="O42" s="23"/>
    </row>
    <row r="43" spans="1:15" x14ac:dyDescent="0.3">
      <c r="A43" s="24">
        <v>16</v>
      </c>
      <c r="B43" s="26">
        <v>46136</v>
      </c>
      <c r="C43" s="24" t="s">
        <v>1</v>
      </c>
      <c r="D43" s="24" t="s">
        <v>15</v>
      </c>
      <c r="E43" s="24"/>
      <c r="F43" s="24"/>
      <c r="G43" s="24"/>
      <c r="H43" s="27"/>
      <c r="I43" s="23"/>
      <c r="J43" s="23"/>
      <c r="K43" s="23"/>
      <c r="L43" s="23"/>
      <c r="M43" s="23"/>
      <c r="N43" s="23"/>
      <c r="O43" s="23"/>
    </row>
    <row r="44" spans="1:15" x14ac:dyDescent="0.3">
      <c r="A44" s="24">
        <v>17</v>
      </c>
      <c r="B44" s="26">
        <v>46139</v>
      </c>
      <c r="C44" s="24" t="s">
        <v>0</v>
      </c>
      <c r="D44" s="24" t="s">
        <v>4</v>
      </c>
      <c r="E44" s="24" t="s">
        <v>3</v>
      </c>
      <c r="F44" s="24" t="s">
        <v>4</v>
      </c>
      <c r="G44" s="24" t="s">
        <v>4</v>
      </c>
      <c r="H44" s="27">
        <v>280</v>
      </c>
      <c r="I44" s="23"/>
      <c r="J44" s="23"/>
      <c r="K44" s="23"/>
      <c r="L44" s="23"/>
      <c r="M44" s="23"/>
      <c r="N44" s="23"/>
      <c r="O44" s="23"/>
    </row>
    <row r="45" spans="1:15" x14ac:dyDescent="0.3">
      <c r="A45" s="24">
        <v>18</v>
      </c>
      <c r="B45" s="26">
        <v>46140</v>
      </c>
      <c r="C45" s="24" t="s">
        <v>1</v>
      </c>
      <c r="D45" s="24" t="s">
        <v>4</v>
      </c>
      <c r="E45" s="24" t="s">
        <v>3</v>
      </c>
      <c r="F45" s="24" t="s">
        <v>3</v>
      </c>
      <c r="G45" s="24" t="s">
        <v>4</v>
      </c>
      <c r="H45" s="27">
        <v>910</v>
      </c>
      <c r="I45" s="23"/>
      <c r="J45" s="23"/>
      <c r="K45" s="23"/>
      <c r="L45" s="23"/>
      <c r="M45" s="23"/>
      <c r="N45" s="23"/>
      <c r="O45" s="23"/>
    </row>
    <row r="46" spans="1:15" x14ac:dyDescent="0.3">
      <c r="A46" s="24">
        <v>19</v>
      </c>
      <c r="B46" s="26">
        <v>46141</v>
      </c>
      <c r="C46" s="24" t="s">
        <v>0</v>
      </c>
      <c r="D46" s="24" t="s">
        <v>3</v>
      </c>
      <c r="E46" s="24" t="s">
        <v>4</v>
      </c>
      <c r="F46" s="24" t="s">
        <v>4</v>
      </c>
      <c r="G46" s="24" t="s">
        <v>4</v>
      </c>
      <c r="H46" s="29">
        <v>-2520</v>
      </c>
      <c r="I46" s="23"/>
      <c r="J46" s="23"/>
      <c r="K46" s="23"/>
      <c r="L46" s="23"/>
      <c r="M46" s="23"/>
      <c r="N46" s="23"/>
      <c r="O46" s="23"/>
    </row>
    <row r="47" spans="1:15" x14ac:dyDescent="0.3">
      <c r="A47" s="24">
        <v>20</v>
      </c>
      <c r="B47" s="26">
        <v>46142</v>
      </c>
      <c r="C47" s="24" t="s">
        <v>0</v>
      </c>
      <c r="D47" s="24" t="s">
        <v>15</v>
      </c>
      <c r="E47" s="24"/>
      <c r="F47" s="24"/>
      <c r="G47" s="24"/>
      <c r="H47" s="27"/>
      <c r="I47" s="23"/>
      <c r="J47" s="23"/>
      <c r="K47" s="23"/>
      <c r="L47" s="23"/>
      <c r="M47" s="23"/>
      <c r="N47" s="23"/>
      <c r="O47" s="23"/>
    </row>
    <row r="48" spans="1:15" x14ac:dyDescent="0.3">
      <c r="A48" s="24"/>
      <c r="B48" s="26"/>
      <c r="C48" s="24"/>
      <c r="D48" s="24"/>
      <c r="E48" s="24"/>
      <c r="F48" s="24"/>
      <c r="G48" s="24"/>
      <c r="H48" s="30">
        <f>SUM(H28:H47)</f>
        <v>4270</v>
      </c>
      <c r="I48" s="23"/>
      <c r="J48" s="23"/>
      <c r="K48" s="23"/>
      <c r="L48" s="23"/>
      <c r="M48" s="23"/>
      <c r="N48" s="23"/>
      <c r="O48" s="23"/>
    </row>
    <row r="49" spans="1:15" x14ac:dyDescent="0.3">
      <c r="A49" s="24"/>
      <c r="B49" s="26"/>
      <c r="C49" s="24"/>
      <c r="D49" s="24"/>
      <c r="E49" s="24"/>
      <c r="F49" s="24"/>
      <c r="G49" s="24"/>
      <c r="H49" s="27"/>
      <c r="I49" s="23"/>
      <c r="J49" s="23"/>
      <c r="K49" s="23"/>
      <c r="L49" s="23"/>
      <c r="M49" s="23"/>
      <c r="N49" s="23"/>
      <c r="O49" s="23"/>
    </row>
    <row r="50" spans="1:15" x14ac:dyDescent="0.3">
      <c r="A50" s="24"/>
      <c r="B50" s="26"/>
      <c r="C50" s="24"/>
      <c r="D50" s="24" t="s">
        <v>2</v>
      </c>
      <c r="E50" s="24" t="s">
        <v>7</v>
      </c>
      <c r="F50" s="24" t="s">
        <v>9</v>
      </c>
      <c r="G50" s="24" t="s">
        <v>11</v>
      </c>
      <c r="H50" s="27"/>
      <c r="I50" s="23"/>
      <c r="J50" s="28">
        <f>H75/23</f>
        <v>356.08695652173913</v>
      </c>
      <c r="K50" s="23"/>
      <c r="L50" s="23"/>
      <c r="M50" s="23"/>
      <c r="N50" s="23"/>
      <c r="O50" s="23"/>
    </row>
    <row r="51" spans="1:15" x14ac:dyDescent="0.3">
      <c r="A51" s="24">
        <v>1</v>
      </c>
      <c r="B51" s="26">
        <v>46146</v>
      </c>
      <c r="C51" s="24" t="s">
        <v>0</v>
      </c>
      <c r="D51" s="24" t="s">
        <v>4</v>
      </c>
      <c r="E51" s="24" t="s">
        <v>3</v>
      </c>
      <c r="F51" s="24" t="s">
        <v>3</v>
      </c>
      <c r="G51" s="24" t="s">
        <v>4</v>
      </c>
      <c r="H51" s="27">
        <v>910</v>
      </c>
      <c r="I51" s="23"/>
      <c r="J51" s="23"/>
      <c r="K51" s="23"/>
      <c r="L51" s="23"/>
      <c r="M51" s="23"/>
      <c r="N51" s="23"/>
      <c r="O51" s="23"/>
    </row>
    <row r="52" spans="1:15" x14ac:dyDescent="0.3">
      <c r="A52" s="24">
        <v>2</v>
      </c>
      <c r="B52" s="26">
        <v>46147</v>
      </c>
      <c r="C52" s="24" t="s">
        <v>0</v>
      </c>
      <c r="D52" s="24" t="s">
        <v>3</v>
      </c>
      <c r="E52" s="24" t="s">
        <v>4</v>
      </c>
      <c r="F52" s="24" t="s">
        <v>4</v>
      </c>
      <c r="G52" s="24" t="s">
        <v>4</v>
      </c>
      <c r="H52" s="29">
        <v>-2520</v>
      </c>
      <c r="I52" s="23"/>
      <c r="J52" s="23"/>
      <c r="K52" s="23"/>
      <c r="L52" s="23"/>
      <c r="M52" s="23"/>
      <c r="N52" s="23"/>
      <c r="O52" s="23"/>
    </row>
    <row r="53" spans="1:15" x14ac:dyDescent="0.3">
      <c r="A53" s="24">
        <v>3</v>
      </c>
      <c r="B53" s="26">
        <v>46148</v>
      </c>
      <c r="C53" s="24" t="s">
        <v>0</v>
      </c>
      <c r="D53" s="24" t="s">
        <v>15</v>
      </c>
      <c r="E53" s="24"/>
      <c r="F53" s="24"/>
      <c r="G53" s="24"/>
      <c r="H53" s="27"/>
      <c r="I53" s="23"/>
      <c r="J53" s="23"/>
      <c r="K53" s="23"/>
      <c r="L53" s="23"/>
      <c r="M53" s="23"/>
      <c r="N53" s="23"/>
      <c r="O53" s="23"/>
    </row>
    <row r="54" spans="1:15" x14ac:dyDescent="0.3">
      <c r="A54" s="24">
        <v>4</v>
      </c>
      <c r="B54" s="26">
        <v>46149</v>
      </c>
      <c r="C54" s="24" t="s">
        <v>15</v>
      </c>
      <c r="D54" s="24" t="s">
        <v>15</v>
      </c>
      <c r="E54" s="24"/>
      <c r="F54" s="24"/>
      <c r="G54" s="24"/>
      <c r="H54" s="27"/>
      <c r="I54" s="23"/>
      <c r="J54" s="23"/>
      <c r="K54" s="23"/>
      <c r="L54" s="23"/>
      <c r="M54" s="23"/>
      <c r="N54" s="23"/>
      <c r="O54" s="23"/>
    </row>
    <row r="55" spans="1:15" x14ac:dyDescent="0.3">
      <c r="A55" s="24">
        <v>5</v>
      </c>
      <c r="B55" s="26">
        <v>46150</v>
      </c>
      <c r="C55" s="24" t="s">
        <v>0</v>
      </c>
      <c r="D55" s="24" t="s">
        <v>4</v>
      </c>
      <c r="E55" s="24" t="s">
        <v>3</v>
      </c>
      <c r="F55" s="24" t="s">
        <v>3</v>
      </c>
      <c r="G55" s="24" t="s">
        <v>3</v>
      </c>
      <c r="H55" s="27">
        <v>4130</v>
      </c>
      <c r="I55" s="23"/>
      <c r="J55" s="23"/>
      <c r="K55" s="23"/>
      <c r="L55" s="23"/>
      <c r="M55" s="23"/>
      <c r="N55" s="23"/>
      <c r="O55" s="23"/>
    </row>
    <row r="56" spans="1:15" x14ac:dyDescent="0.3">
      <c r="A56" s="24">
        <v>6</v>
      </c>
      <c r="B56" s="26">
        <v>46153</v>
      </c>
      <c r="C56" s="24" t="s">
        <v>0</v>
      </c>
      <c r="D56" s="24" t="s">
        <v>3</v>
      </c>
      <c r="E56" s="24" t="s">
        <v>4</v>
      </c>
      <c r="F56" s="24" t="s">
        <v>4</v>
      </c>
      <c r="G56" s="24" t="s">
        <v>4</v>
      </c>
      <c r="H56" s="27">
        <v>-2520</v>
      </c>
      <c r="I56" s="23"/>
      <c r="J56" s="23"/>
      <c r="K56" s="23"/>
      <c r="L56" s="23"/>
      <c r="M56" s="23"/>
      <c r="N56" s="23"/>
      <c r="O56" s="23"/>
    </row>
    <row r="57" spans="1:15" x14ac:dyDescent="0.3">
      <c r="A57" s="24">
        <v>7</v>
      </c>
      <c r="B57" s="26">
        <v>46154</v>
      </c>
      <c r="C57" s="24" t="s">
        <v>1</v>
      </c>
      <c r="D57" s="24" t="s">
        <v>4</v>
      </c>
      <c r="E57" s="24" t="s">
        <v>3</v>
      </c>
      <c r="F57" s="24" t="s">
        <v>3</v>
      </c>
      <c r="G57" s="24" t="s">
        <v>4</v>
      </c>
      <c r="H57" s="27">
        <v>910</v>
      </c>
      <c r="I57" s="23"/>
      <c r="J57" s="23"/>
      <c r="K57" s="23"/>
      <c r="L57" s="23"/>
      <c r="M57" s="23"/>
      <c r="N57" s="23"/>
      <c r="O57" s="23"/>
    </row>
    <row r="58" spans="1:15" x14ac:dyDescent="0.3">
      <c r="A58" s="24">
        <v>8</v>
      </c>
      <c r="B58" s="26">
        <v>46155</v>
      </c>
      <c r="C58" s="24" t="s">
        <v>0</v>
      </c>
      <c r="D58" s="24" t="s">
        <v>3</v>
      </c>
      <c r="E58" s="24" t="s">
        <v>4</v>
      </c>
      <c r="F58" s="24" t="s">
        <v>4</v>
      </c>
      <c r="G58" s="24" t="s">
        <v>4</v>
      </c>
      <c r="H58" s="27">
        <v>-2520</v>
      </c>
      <c r="I58" s="23"/>
      <c r="J58" s="23"/>
      <c r="K58" s="23"/>
      <c r="L58" s="23"/>
      <c r="M58" s="23"/>
      <c r="N58" s="23"/>
      <c r="O58" s="23"/>
    </row>
    <row r="59" spans="1:15" x14ac:dyDescent="0.3">
      <c r="A59" s="24">
        <v>9</v>
      </c>
      <c r="B59" s="26">
        <v>46156</v>
      </c>
      <c r="C59" s="24" t="s">
        <v>15</v>
      </c>
      <c r="D59" s="24" t="s">
        <v>15</v>
      </c>
      <c r="E59" s="24"/>
      <c r="F59" s="24"/>
      <c r="G59" s="24"/>
      <c r="H59" s="27"/>
      <c r="I59" s="23"/>
      <c r="J59" s="23"/>
      <c r="K59" s="23"/>
      <c r="L59" s="23"/>
      <c r="M59" s="23"/>
      <c r="N59" s="23"/>
      <c r="O59" s="23"/>
    </row>
    <row r="60" spans="1:15" x14ac:dyDescent="0.3">
      <c r="A60" s="24">
        <v>10</v>
      </c>
      <c r="B60" s="26">
        <v>46157</v>
      </c>
      <c r="C60" s="24" t="s">
        <v>1</v>
      </c>
      <c r="D60" s="24" t="s">
        <v>4</v>
      </c>
      <c r="E60" s="24" t="s">
        <v>3</v>
      </c>
      <c r="F60" s="24" t="s">
        <v>3</v>
      </c>
      <c r="G60" s="24" t="s">
        <v>4</v>
      </c>
      <c r="H60" s="27">
        <v>910</v>
      </c>
      <c r="I60" s="23"/>
      <c r="J60" s="23"/>
      <c r="K60" s="23"/>
      <c r="L60" s="23"/>
      <c r="M60" s="23"/>
      <c r="N60" s="23"/>
      <c r="O60" s="23"/>
    </row>
    <row r="61" spans="1:15" x14ac:dyDescent="0.3">
      <c r="A61" s="24">
        <v>11</v>
      </c>
      <c r="B61" s="26">
        <v>46160</v>
      </c>
      <c r="C61" s="24" t="s">
        <v>0</v>
      </c>
      <c r="D61" s="24" t="s">
        <v>4</v>
      </c>
      <c r="E61" s="24" t="s">
        <v>3</v>
      </c>
      <c r="F61" s="24" t="s">
        <v>3</v>
      </c>
      <c r="G61" s="24" t="s">
        <v>4</v>
      </c>
      <c r="H61" s="27">
        <v>910</v>
      </c>
      <c r="I61" s="23"/>
      <c r="J61" s="23"/>
      <c r="K61" s="23"/>
      <c r="L61" s="23"/>
      <c r="M61" s="23"/>
      <c r="N61" s="23"/>
      <c r="O61" s="23"/>
    </row>
    <row r="62" spans="1:15" x14ac:dyDescent="0.3">
      <c r="A62" s="24">
        <v>12</v>
      </c>
      <c r="B62" s="26">
        <v>46161</v>
      </c>
      <c r="C62" s="24" t="s">
        <v>1</v>
      </c>
      <c r="D62" s="24" t="s">
        <v>4</v>
      </c>
      <c r="E62" s="24" t="s">
        <v>3</v>
      </c>
      <c r="F62" s="24" t="s">
        <v>3</v>
      </c>
      <c r="G62" s="24" t="s">
        <v>4</v>
      </c>
      <c r="H62" s="27">
        <v>910</v>
      </c>
      <c r="I62" s="23"/>
      <c r="J62" s="23"/>
      <c r="K62" s="23"/>
      <c r="L62" s="23"/>
      <c r="M62" s="23"/>
      <c r="N62" s="23"/>
      <c r="O62" s="23"/>
    </row>
    <row r="63" spans="1:15" x14ac:dyDescent="0.3">
      <c r="A63" s="24">
        <v>13</v>
      </c>
      <c r="B63" s="26">
        <v>46162</v>
      </c>
      <c r="C63" s="24" t="s">
        <v>0</v>
      </c>
      <c r="D63" s="24" t="s">
        <v>4</v>
      </c>
      <c r="E63" s="24" t="s">
        <v>3</v>
      </c>
      <c r="F63" s="24" t="s">
        <v>3</v>
      </c>
      <c r="G63" s="24" t="s">
        <v>3</v>
      </c>
      <c r="H63" s="27">
        <v>4130</v>
      </c>
      <c r="I63" s="23"/>
      <c r="J63" s="23"/>
      <c r="K63" s="23"/>
      <c r="L63" s="23"/>
      <c r="M63" s="23"/>
      <c r="N63" s="23"/>
      <c r="O63" s="23"/>
    </row>
    <row r="64" spans="1:15" x14ac:dyDescent="0.3">
      <c r="A64" s="24">
        <v>14</v>
      </c>
      <c r="B64" s="26">
        <v>46163</v>
      </c>
      <c r="C64" s="24" t="s">
        <v>1</v>
      </c>
      <c r="D64" s="24" t="s">
        <v>3</v>
      </c>
      <c r="E64" s="24" t="s">
        <v>4</v>
      </c>
      <c r="F64" s="24" t="s">
        <v>4</v>
      </c>
      <c r="G64" s="24" t="s">
        <v>4</v>
      </c>
      <c r="H64" s="29">
        <v>-2520</v>
      </c>
      <c r="I64" s="23"/>
      <c r="J64" s="23"/>
      <c r="K64" s="23"/>
      <c r="L64" s="23"/>
      <c r="M64" s="23"/>
      <c r="N64" s="26"/>
      <c r="O64" s="24"/>
    </row>
    <row r="65" spans="1:15" x14ac:dyDescent="0.3">
      <c r="A65" s="24">
        <v>15</v>
      </c>
      <c r="B65" s="26">
        <v>46164</v>
      </c>
      <c r="C65" s="24" t="s">
        <v>0</v>
      </c>
      <c r="D65" s="24" t="s">
        <v>4</v>
      </c>
      <c r="E65" s="24" t="s">
        <v>3</v>
      </c>
      <c r="F65" s="24" t="s">
        <v>4</v>
      </c>
      <c r="G65" s="24" t="s">
        <v>4</v>
      </c>
      <c r="H65" s="27">
        <v>280</v>
      </c>
      <c r="I65" s="23"/>
      <c r="J65" s="23"/>
      <c r="K65" s="23"/>
      <c r="L65" s="23"/>
      <c r="M65" s="23"/>
      <c r="N65" s="26"/>
      <c r="O65" s="24"/>
    </row>
    <row r="66" spans="1:15" x14ac:dyDescent="0.3">
      <c r="A66" s="24">
        <v>16</v>
      </c>
      <c r="B66" s="26">
        <v>46167</v>
      </c>
      <c r="C66" s="24" t="s">
        <v>0</v>
      </c>
      <c r="D66" s="24" t="s">
        <v>4</v>
      </c>
      <c r="E66" s="24" t="s">
        <v>3</v>
      </c>
      <c r="F66" s="24" t="s">
        <v>3</v>
      </c>
      <c r="G66" s="24" t="s">
        <v>4</v>
      </c>
      <c r="H66" s="27">
        <v>910</v>
      </c>
      <c r="I66" s="23"/>
      <c r="J66" s="23"/>
      <c r="K66" s="23"/>
      <c r="L66" s="23"/>
      <c r="M66" s="23"/>
      <c r="N66" s="26"/>
      <c r="O66" s="24"/>
    </row>
    <row r="67" spans="1:15" x14ac:dyDescent="0.3">
      <c r="A67" s="24">
        <v>17</v>
      </c>
      <c r="B67" s="26">
        <v>46169</v>
      </c>
      <c r="C67" s="24" t="s">
        <v>1</v>
      </c>
      <c r="D67" s="24" t="s">
        <v>4</v>
      </c>
      <c r="E67" s="24" t="s">
        <v>3</v>
      </c>
      <c r="F67" s="24" t="s">
        <v>4</v>
      </c>
      <c r="G67" s="24" t="s">
        <v>4</v>
      </c>
      <c r="H67" s="27">
        <v>280</v>
      </c>
      <c r="I67" s="23"/>
      <c r="J67" s="23"/>
      <c r="K67" s="23"/>
      <c r="L67" s="23"/>
      <c r="M67" s="23"/>
      <c r="N67" s="26"/>
      <c r="O67" s="24"/>
    </row>
    <row r="68" spans="1:15" x14ac:dyDescent="0.3">
      <c r="A68" s="24">
        <v>18</v>
      </c>
      <c r="B68" s="26">
        <v>46170</v>
      </c>
      <c r="C68" s="24" t="s">
        <v>1</v>
      </c>
      <c r="D68" s="24" t="s">
        <v>3</v>
      </c>
      <c r="E68" s="24" t="s">
        <v>4</v>
      </c>
      <c r="F68" s="24" t="s">
        <v>4</v>
      </c>
      <c r="G68" s="24" t="s">
        <v>4</v>
      </c>
      <c r="H68" s="29">
        <v>-2520</v>
      </c>
      <c r="I68" s="23"/>
      <c r="J68" s="23"/>
      <c r="K68" s="23"/>
      <c r="L68" s="23"/>
      <c r="M68" s="23"/>
      <c r="N68" s="26"/>
      <c r="O68" s="24"/>
    </row>
    <row r="69" spans="1:15" x14ac:dyDescent="0.3">
      <c r="A69" s="24">
        <v>19</v>
      </c>
      <c r="B69" s="26">
        <v>46171</v>
      </c>
      <c r="C69" s="24" t="s">
        <v>1</v>
      </c>
      <c r="D69" s="24" t="s">
        <v>4</v>
      </c>
      <c r="E69" s="24" t="s">
        <v>3</v>
      </c>
      <c r="F69" s="24" t="s">
        <v>3</v>
      </c>
      <c r="G69" s="24" t="s">
        <v>4</v>
      </c>
      <c r="H69" s="27">
        <v>910</v>
      </c>
      <c r="I69" s="23"/>
      <c r="J69" s="23"/>
      <c r="K69" s="23"/>
      <c r="L69" s="23"/>
      <c r="M69" s="23"/>
      <c r="N69" s="26"/>
      <c r="O69" s="24"/>
    </row>
    <row r="70" spans="1:15" x14ac:dyDescent="0.3">
      <c r="A70" s="24">
        <v>20</v>
      </c>
      <c r="B70" s="26">
        <v>46174</v>
      </c>
      <c r="C70" s="24" t="s">
        <v>0</v>
      </c>
      <c r="D70" s="24" t="s">
        <v>4</v>
      </c>
      <c r="E70" s="24" t="s">
        <v>3</v>
      </c>
      <c r="F70" s="24" t="s">
        <v>3</v>
      </c>
      <c r="G70" s="24" t="s">
        <v>4</v>
      </c>
      <c r="H70" s="27">
        <v>910</v>
      </c>
      <c r="I70" s="23"/>
      <c r="J70" s="23"/>
      <c r="K70" s="23"/>
      <c r="L70" s="23"/>
      <c r="M70" s="23"/>
      <c r="N70" s="26"/>
      <c r="O70" s="24"/>
    </row>
    <row r="71" spans="1:15" x14ac:dyDescent="0.3">
      <c r="A71" s="24">
        <v>21</v>
      </c>
      <c r="B71" s="26">
        <v>46175</v>
      </c>
      <c r="C71" s="24" t="s">
        <v>0</v>
      </c>
      <c r="D71" s="24" t="s">
        <v>4</v>
      </c>
      <c r="E71" s="24" t="s">
        <v>3</v>
      </c>
      <c r="F71" s="24" t="s">
        <v>4</v>
      </c>
      <c r="G71" s="24" t="s">
        <v>4</v>
      </c>
      <c r="H71" s="27">
        <v>280</v>
      </c>
      <c r="I71" s="23"/>
      <c r="J71" s="23"/>
      <c r="K71" s="23"/>
      <c r="L71" s="23"/>
      <c r="M71" s="23"/>
      <c r="N71" s="26"/>
      <c r="O71" s="24"/>
    </row>
    <row r="72" spans="1:15" x14ac:dyDescent="0.3">
      <c r="A72" s="24">
        <v>22</v>
      </c>
      <c r="B72" s="26">
        <v>46176</v>
      </c>
      <c r="C72" s="24" t="s">
        <v>1</v>
      </c>
      <c r="D72" s="24" t="s">
        <v>4</v>
      </c>
      <c r="E72" s="24" t="s">
        <v>3</v>
      </c>
      <c r="F72" s="24" t="s">
        <v>3</v>
      </c>
      <c r="G72" s="24" t="s">
        <v>3</v>
      </c>
      <c r="H72" s="27">
        <v>4130</v>
      </c>
      <c r="I72" s="23"/>
      <c r="J72" s="23"/>
      <c r="K72" s="23"/>
      <c r="L72" s="23"/>
      <c r="M72" s="23"/>
      <c r="N72" s="24"/>
      <c r="O72" s="24"/>
    </row>
    <row r="73" spans="1:15" x14ac:dyDescent="0.3">
      <c r="A73" s="24">
        <v>23</v>
      </c>
      <c r="B73" s="26">
        <v>46178</v>
      </c>
      <c r="C73" s="24" t="s">
        <v>1</v>
      </c>
      <c r="D73" s="24" t="s">
        <v>4</v>
      </c>
      <c r="E73" s="24" t="s">
        <v>3</v>
      </c>
      <c r="F73" s="24" t="s">
        <v>4</v>
      </c>
      <c r="G73" s="24" t="s">
        <v>4</v>
      </c>
      <c r="H73" s="27">
        <v>280</v>
      </c>
      <c r="I73" s="23"/>
      <c r="J73" s="23"/>
      <c r="K73" s="23"/>
      <c r="L73" s="23"/>
      <c r="M73" s="23"/>
      <c r="N73" s="26"/>
      <c r="O73" s="24"/>
    </row>
    <row r="74" spans="1:15" x14ac:dyDescent="0.3">
      <c r="A74" s="24"/>
      <c r="B74" s="24"/>
      <c r="C74" s="24"/>
      <c r="D74" s="24"/>
      <c r="E74" s="24"/>
      <c r="F74" s="24"/>
      <c r="G74" s="24"/>
      <c r="H74" s="18"/>
      <c r="I74" s="23"/>
      <c r="J74" s="23"/>
      <c r="K74" s="23"/>
      <c r="L74" s="23"/>
      <c r="M74" s="23"/>
      <c r="N74" s="26"/>
      <c r="O74" s="24"/>
    </row>
    <row r="75" spans="1:15" x14ac:dyDescent="0.3">
      <c r="A75" s="23"/>
      <c r="B75" s="23"/>
      <c r="C75" s="23"/>
      <c r="D75" s="23"/>
      <c r="E75" s="23"/>
      <c r="F75" s="23"/>
      <c r="G75" s="23"/>
      <c r="H75" s="30">
        <f>SUM(H51:H74)</f>
        <v>8190</v>
      </c>
      <c r="I75" s="23"/>
      <c r="J75" s="23"/>
      <c r="K75" s="23"/>
      <c r="L75" s="23"/>
      <c r="M75" s="23"/>
      <c r="N75" s="26"/>
      <c r="O75" s="24"/>
    </row>
    <row r="76" spans="1:15" x14ac:dyDescent="0.3">
      <c r="A76" s="23"/>
      <c r="B76" s="23"/>
      <c r="C76" s="23"/>
      <c r="D76" s="23"/>
      <c r="E76" s="23"/>
      <c r="F76" s="23"/>
      <c r="G76" s="23"/>
      <c r="H76" s="30"/>
      <c r="I76" s="23"/>
      <c r="J76" s="23"/>
      <c r="K76" s="23"/>
      <c r="L76" s="23"/>
      <c r="M76" s="23"/>
      <c r="N76" s="26"/>
      <c r="O76" s="24"/>
    </row>
    <row r="77" spans="1:15" x14ac:dyDescent="0.3">
      <c r="A77" s="23"/>
      <c r="B77" s="23"/>
      <c r="C77" s="23"/>
      <c r="D77" s="24" t="s">
        <v>2</v>
      </c>
      <c r="E77" s="24" t="s">
        <v>7</v>
      </c>
      <c r="F77" s="24" t="s">
        <v>9</v>
      </c>
      <c r="G77" s="24" t="s">
        <v>11</v>
      </c>
      <c r="H77" s="28"/>
      <c r="I77" s="23"/>
      <c r="J77" s="23"/>
      <c r="K77" s="23"/>
      <c r="L77" s="23"/>
      <c r="M77" s="23"/>
      <c r="N77" s="26"/>
      <c r="O77" s="24"/>
    </row>
    <row r="78" spans="1:15" x14ac:dyDescent="0.3">
      <c r="A78" s="24"/>
      <c r="B78" s="26">
        <v>46174</v>
      </c>
      <c r="C78" s="19" t="s">
        <v>0</v>
      </c>
      <c r="D78" s="24" t="s">
        <v>15</v>
      </c>
      <c r="E78" s="24"/>
      <c r="F78" s="24"/>
      <c r="G78" s="24"/>
      <c r="H78" s="27"/>
      <c r="I78" s="24"/>
      <c r="J78" s="24"/>
      <c r="K78" s="23"/>
      <c r="L78" s="23"/>
      <c r="M78" s="23"/>
      <c r="N78" s="26"/>
      <c r="O78" s="24"/>
    </row>
    <row r="79" spans="1:15" x14ac:dyDescent="0.3">
      <c r="A79" s="24"/>
      <c r="B79" s="26">
        <v>46175</v>
      </c>
      <c r="C79" s="19" t="s">
        <v>0</v>
      </c>
      <c r="D79" s="24" t="s">
        <v>4</v>
      </c>
      <c r="E79" s="24" t="s">
        <v>3</v>
      </c>
      <c r="F79" s="24" t="s">
        <v>4</v>
      </c>
      <c r="G79" s="24" t="s">
        <v>4</v>
      </c>
      <c r="H79" s="27"/>
      <c r="I79" s="24"/>
      <c r="J79" s="24"/>
      <c r="K79" s="23"/>
      <c r="L79" s="23"/>
      <c r="M79" s="23"/>
      <c r="N79" s="26"/>
      <c r="O79" s="24"/>
    </row>
    <row r="80" spans="1:15" x14ac:dyDescent="0.3">
      <c r="A80" s="24"/>
      <c r="B80" s="26">
        <v>46176</v>
      </c>
      <c r="C80" s="19" t="s">
        <v>1</v>
      </c>
      <c r="D80" s="24" t="s">
        <v>4</v>
      </c>
      <c r="E80" s="24" t="s">
        <v>3</v>
      </c>
      <c r="F80" s="24" t="s">
        <v>3</v>
      </c>
      <c r="G80" s="24" t="s">
        <v>3</v>
      </c>
      <c r="H80" s="27"/>
      <c r="I80" s="24"/>
      <c r="J80" s="24"/>
      <c r="K80" s="23"/>
      <c r="L80" s="23"/>
      <c r="M80" s="23"/>
      <c r="N80" s="26"/>
      <c r="O80" s="24"/>
    </row>
    <row r="81" spans="1:15" x14ac:dyDescent="0.3">
      <c r="A81" s="24"/>
      <c r="B81" s="26">
        <v>46178</v>
      </c>
      <c r="C81" s="19" t="s">
        <v>1</v>
      </c>
      <c r="D81" s="24" t="s">
        <v>4</v>
      </c>
      <c r="E81" s="24" t="s">
        <v>3</v>
      </c>
      <c r="F81" s="24" t="s">
        <v>4</v>
      </c>
      <c r="G81" s="24" t="s">
        <v>4</v>
      </c>
      <c r="H81" s="27"/>
      <c r="I81" s="24"/>
      <c r="J81" s="24"/>
      <c r="K81" s="23"/>
      <c r="L81" s="23"/>
      <c r="M81" s="23"/>
      <c r="N81" s="26"/>
      <c r="O81" s="24"/>
    </row>
    <row r="82" spans="1:15" x14ac:dyDescent="0.3">
      <c r="A82" s="24"/>
      <c r="B82" s="24"/>
      <c r="C82" s="24"/>
      <c r="D82" s="24"/>
      <c r="E82" s="24"/>
      <c r="F82" s="24"/>
      <c r="G82" s="24"/>
      <c r="H82" s="27"/>
      <c r="I82" s="24"/>
      <c r="J82" s="24"/>
      <c r="K82" s="23"/>
      <c r="L82" s="23"/>
      <c r="M82" s="23"/>
      <c r="N82" s="26"/>
      <c r="O82" s="24"/>
    </row>
    <row r="83" spans="1:15" x14ac:dyDescent="0.3">
      <c r="A83" s="24"/>
      <c r="B83" s="24"/>
      <c r="C83" s="24"/>
      <c r="D83" s="24"/>
      <c r="E83" s="24"/>
      <c r="F83" s="24"/>
      <c r="G83" s="24"/>
      <c r="H83" s="27"/>
      <c r="I83" s="24"/>
      <c r="J83" s="24"/>
      <c r="K83" s="23"/>
      <c r="L83" s="23"/>
      <c r="M83" s="23"/>
      <c r="N83" s="26"/>
      <c r="O83" s="24"/>
    </row>
    <row r="84" spans="1:15" x14ac:dyDescent="0.3">
      <c r="A84" s="24"/>
      <c r="B84" s="24"/>
      <c r="C84" s="24"/>
      <c r="D84" s="24"/>
      <c r="E84" s="24"/>
      <c r="F84" s="24"/>
      <c r="G84" s="24"/>
      <c r="H84" s="27"/>
      <c r="I84" s="24"/>
      <c r="J84" s="24"/>
      <c r="K84" s="23"/>
      <c r="L84" s="23"/>
      <c r="M84" s="23"/>
      <c r="N84" s="23"/>
      <c r="O84" s="23"/>
    </row>
    <row r="85" spans="1:15" x14ac:dyDescent="0.3">
      <c r="A85" s="24"/>
      <c r="B85" s="24"/>
      <c r="C85" s="24"/>
      <c r="D85" s="24"/>
      <c r="E85" s="24"/>
      <c r="F85" s="24"/>
      <c r="G85" s="24"/>
      <c r="H85" s="27"/>
      <c r="I85" s="24"/>
      <c r="J85" s="24"/>
      <c r="K85" s="23"/>
      <c r="L85" s="23"/>
      <c r="M85" s="23"/>
      <c r="N85" s="23"/>
      <c r="O85" s="23"/>
    </row>
    <row r="86" spans="1:15" x14ac:dyDescent="0.3">
      <c r="A86" s="24"/>
      <c r="B86" s="24"/>
      <c r="C86" s="24"/>
      <c r="D86" s="24"/>
      <c r="E86" s="24"/>
      <c r="F86" s="24"/>
      <c r="G86" s="24"/>
      <c r="H86" s="27"/>
      <c r="I86" s="24"/>
      <c r="J86" s="24"/>
      <c r="K86" s="23"/>
      <c r="L86" s="23"/>
      <c r="M86" s="23"/>
      <c r="N86" s="23"/>
      <c r="O86" s="23"/>
    </row>
    <row r="87" spans="1:15" x14ac:dyDescent="0.3">
      <c r="A87" s="24"/>
      <c r="B87" s="24"/>
      <c r="C87" s="24"/>
      <c r="D87" s="24"/>
      <c r="E87" s="24"/>
      <c r="F87" s="24"/>
      <c r="G87" s="24"/>
      <c r="H87" s="27"/>
      <c r="I87" s="24"/>
      <c r="J87" s="24"/>
      <c r="K87" s="23"/>
      <c r="L87" s="23"/>
      <c r="M87" s="23"/>
      <c r="N87" s="23"/>
      <c r="O87" s="23"/>
    </row>
    <row r="88" spans="1:15" x14ac:dyDescent="0.3">
      <c r="A88" s="2"/>
      <c r="B88" s="2"/>
      <c r="C88" s="2"/>
      <c r="D88" s="2"/>
      <c r="E88" s="2"/>
      <c r="F88" s="2"/>
      <c r="G88" s="2"/>
      <c r="H88" s="4"/>
      <c r="I88" s="2"/>
      <c r="J88" s="2"/>
    </row>
    <row r="89" spans="1:15" x14ac:dyDescent="0.3">
      <c r="A89" s="2"/>
      <c r="B89" s="2"/>
      <c r="C89" s="2"/>
      <c r="D89" s="2"/>
      <c r="E89" s="2"/>
      <c r="F89" s="2"/>
      <c r="G89" s="2"/>
      <c r="H89" s="4"/>
      <c r="I89" s="2"/>
      <c r="J89" s="2"/>
    </row>
    <row r="90" spans="1:15" x14ac:dyDescent="0.3">
      <c r="H90" s="5"/>
    </row>
    <row r="91" spans="1:15" x14ac:dyDescent="0.3">
      <c r="H91" s="5"/>
    </row>
    <row r="92" spans="1:15" x14ac:dyDescent="0.3">
      <c r="H92" s="5"/>
    </row>
    <row r="93" spans="1:15" x14ac:dyDescent="0.3">
      <c r="H93" s="5"/>
    </row>
  </sheetData>
  <mergeCells count="1">
    <mergeCell ref="A3:C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7E8B5-F7D5-4211-91D7-66D7EF787F00}">
  <dimension ref="A1:L81"/>
  <sheetViews>
    <sheetView topLeftCell="A42" workbookViewId="0">
      <selection activeCell="G77" sqref="G77"/>
    </sheetView>
  </sheetViews>
  <sheetFormatPr defaultRowHeight="14.4" x14ac:dyDescent="0.3"/>
  <cols>
    <col min="2" max="2" width="10.33203125" bestFit="1" customWidth="1"/>
    <col min="3" max="3" width="10.6640625" bestFit="1" customWidth="1"/>
    <col min="4" max="4" width="10.21875" bestFit="1" customWidth="1"/>
    <col min="6" max="6" width="9.88671875" bestFit="1" customWidth="1"/>
    <col min="7" max="7" width="11.21875" bestFit="1" customWidth="1"/>
  </cols>
  <sheetData>
    <row r="1" spans="1:7" x14ac:dyDescent="0.3">
      <c r="A1" s="20" t="s">
        <v>17</v>
      </c>
      <c r="B1" s="20"/>
      <c r="C1" s="20"/>
    </row>
    <row r="2" spans="1:7" x14ac:dyDescent="0.3">
      <c r="D2" s="24" t="s">
        <v>2</v>
      </c>
      <c r="E2" s="24" t="s">
        <v>13</v>
      </c>
      <c r="F2" s="24" t="s">
        <v>11</v>
      </c>
      <c r="G2" s="5"/>
    </row>
    <row r="3" spans="1:7" x14ac:dyDescent="0.3">
      <c r="B3" s="3">
        <v>46085</v>
      </c>
      <c r="C3" s="2" t="s">
        <v>1</v>
      </c>
      <c r="D3" s="2" t="s">
        <v>4</v>
      </c>
      <c r="E3" s="2" t="s">
        <v>3</v>
      </c>
      <c r="F3" s="2" t="s">
        <v>3</v>
      </c>
      <c r="G3" s="4">
        <v>3300</v>
      </c>
    </row>
    <row r="4" spans="1:7" x14ac:dyDescent="0.3">
      <c r="B4" s="3">
        <v>46086</v>
      </c>
      <c r="C4" s="2" t="s">
        <v>1</v>
      </c>
      <c r="D4" s="2" t="s">
        <v>3</v>
      </c>
      <c r="E4" s="2" t="s">
        <v>4</v>
      </c>
      <c r="F4" s="2" t="s">
        <v>4</v>
      </c>
      <c r="G4" s="4">
        <v>-1800</v>
      </c>
    </row>
    <row r="5" spans="1:7" x14ac:dyDescent="0.3">
      <c r="B5" s="3">
        <v>46087</v>
      </c>
      <c r="C5" s="2" t="s">
        <v>0</v>
      </c>
      <c r="D5" s="2" t="s">
        <v>3</v>
      </c>
      <c r="E5" s="2" t="s">
        <v>4</v>
      </c>
      <c r="F5" s="2" t="s">
        <v>4</v>
      </c>
      <c r="G5" s="4">
        <v>-1800</v>
      </c>
    </row>
    <row r="6" spans="1:7" x14ac:dyDescent="0.3">
      <c r="B6" s="3">
        <v>46090</v>
      </c>
      <c r="C6" s="2" t="s">
        <v>0</v>
      </c>
      <c r="D6" s="2" t="s">
        <v>3</v>
      </c>
      <c r="E6" s="2" t="s">
        <v>4</v>
      </c>
      <c r="F6" s="2" t="s">
        <v>4</v>
      </c>
      <c r="G6" s="4">
        <v>-1800</v>
      </c>
    </row>
    <row r="7" spans="1:7" x14ac:dyDescent="0.3">
      <c r="B7" s="3">
        <v>46091</v>
      </c>
      <c r="C7" s="2" t="s">
        <v>1</v>
      </c>
      <c r="D7" s="2" t="s">
        <v>3</v>
      </c>
      <c r="E7" s="2" t="s">
        <v>4</v>
      </c>
      <c r="F7" s="2" t="s">
        <v>3</v>
      </c>
      <c r="G7" s="4">
        <v>-1800</v>
      </c>
    </row>
    <row r="8" spans="1:7" x14ac:dyDescent="0.3">
      <c r="B8" s="3">
        <v>46092</v>
      </c>
      <c r="C8" s="2" t="s">
        <v>1</v>
      </c>
      <c r="D8" s="2" t="s">
        <v>4</v>
      </c>
      <c r="E8" s="2" t="s">
        <v>3</v>
      </c>
      <c r="F8" s="2" t="s">
        <v>4</v>
      </c>
      <c r="G8" s="4">
        <v>75</v>
      </c>
    </row>
    <row r="9" spans="1:7" x14ac:dyDescent="0.3">
      <c r="B9" s="3">
        <v>46093</v>
      </c>
      <c r="C9" s="2" t="s">
        <v>0</v>
      </c>
      <c r="D9" s="2" t="s">
        <v>4</v>
      </c>
      <c r="E9" s="2" t="s">
        <v>3</v>
      </c>
      <c r="F9" s="2" t="s">
        <v>4</v>
      </c>
      <c r="G9" s="4">
        <v>75</v>
      </c>
    </row>
    <row r="10" spans="1:7" x14ac:dyDescent="0.3">
      <c r="B10" s="3">
        <v>46094</v>
      </c>
      <c r="C10" s="2" t="s">
        <v>0</v>
      </c>
      <c r="D10" s="2" t="s">
        <v>3</v>
      </c>
      <c r="E10" s="2" t="s">
        <v>4</v>
      </c>
      <c r="F10" s="2" t="s">
        <v>4</v>
      </c>
      <c r="G10" s="4">
        <v>-1800</v>
      </c>
    </row>
    <row r="11" spans="1:7" x14ac:dyDescent="0.3">
      <c r="B11" s="3">
        <v>46097</v>
      </c>
      <c r="C11" s="2" t="s">
        <v>1</v>
      </c>
      <c r="D11" s="2" t="s">
        <v>4</v>
      </c>
      <c r="E11" s="2" t="s">
        <v>3</v>
      </c>
      <c r="F11" s="2" t="s">
        <v>3</v>
      </c>
      <c r="G11" s="4">
        <v>3300</v>
      </c>
    </row>
    <row r="12" spans="1:7" x14ac:dyDescent="0.3">
      <c r="B12" s="3">
        <v>46099</v>
      </c>
      <c r="C12" s="2" t="s">
        <v>1</v>
      </c>
      <c r="D12" s="2" t="s">
        <v>4</v>
      </c>
      <c r="E12" s="2" t="s">
        <v>3</v>
      </c>
      <c r="F12" s="2" t="s">
        <v>4</v>
      </c>
      <c r="G12" s="4">
        <v>75</v>
      </c>
    </row>
    <row r="13" spans="1:7" x14ac:dyDescent="0.3">
      <c r="B13" s="3">
        <v>46100</v>
      </c>
      <c r="C13" s="2" t="s">
        <v>1</v>
      </c>
      <c r="D13" s="2" t="s">
        <v>3</v>
      </c>
      <c r="E13" s="2" t="s">
        <v>4</v>
      </c>
      <c r="F13" s="2" t="s">
        <v>4</v>
      </c>
      <c r="G13" s="4">
        <v>-1800</v>
      </c>
    </row>
    <row r="14" spans="1:7" x14ac:dyDescent="0.3">
      <c r="B14" s="3">
        <v>46101</v>
      </c>
      <c r="C14" s="2" t="s">
        <v>0</v>
      </c>
      <c r="D14" s="2" t="s">
        <v>3</v>
      </c>
      <c r="E14" s="2" t="s">
        <v>4</v>
      </c>
      <c r="F14" s="2" t="s">
        <v>4</v>
      </c>
      <c r="G14" s="4">
        <v>-1800</v>
      </c>
    </row>
    <row r="15" spans="1:7" x14ac:dyDescent="0.3">
      <c r="B15" s="3">
        <v>46104</v>
      </c>
      <c r="C15" s="2" t="s">
        <v>0</v>
      </c>
      <c r="D15" s="2" t="s">
        <v>4</v>
      </c>
      <c r="E15" s="2" t="s">
        <v>4</v>
      </c>
      <c r="F15" s="2" t="s">
        <v>3</v>
      </c>
      <c r="G15" s="4">
        <v>3300</v>
      </c>
    </row>
    <row r="16" spans="1:7" x14ac:dyDescent="0.3">
      <c r="B16" s="3">
        <v>46105</v>
      </c>
      <c r="C16" s="2" t="s">
        <v>0</v>
      </c>
      <c r="D16" s="2" t="s">
        <v>4</v>
      </c>
      <c r="E16" s="2" t="s">
        <v>3</v>
      </c>
      <c r="F16" s="2" t="s">
        <v>3</v>
      </c>
      <c r="G16" s="4">
        <v>3300</v>
      </c>
    </row>
    <row r="17" spans="2:8" x14ac:dyDescent="0.3">
      <c r="B17" s="3">
        <v>46106</v>
      </c>
      <c r="C17" s="2" t="s">
        <v>1</v>
      </c>
      <c r="D17" s="2" t="s">
        <v>3</v>
      </c>
      <c r="E17" s="2" t="s">
        <v>4</v>
      </c>
      <c r="F17" s="2" t="s">
        <v>4</v>
      </c>
      <c r="G17" s="4">
        <v>-1800</v>
      </c>
    </row>
    <row r="18" spans="2:8" x14ac:dyDescent="0.3">
      <c r="B18" s="3">
        <v>46107</v>
      </c>
      <c r="C18" s="2" t="s">
        <v>0</v>
      </c>
      <c r="D18" s="2" t="s">
        <v>4</v>
      </c>
      <c r="E18" s="2" t="s">
        <v>3</v>
      </c>
      <c r="F18" s="2" t="s">
        <v>4</v>
      </c>
      <c r="G18" s="4">
        <v>75</v>
      </c>
    </row>
    <row r="19" spans="2:8" x14ac:dyDescent="0.3">
      <c r="B19" s="3">
        <v>46108</v>
      </c>
      <c r="C19" s="2" t="s">
        <v>0</v>
      </c>
      <c r="D19" s="2" t="s">
        <v>4</v>
      </c>
      <c r="E19" s="2" t="s">
        <v>3</v>
      </c>
      <c r="F19" s="2" t="s">
        <v>4</v>
      </c>
      <c r="G19" s="4">
        <v>75</v>
      </c>
    </row>
    <row r="20" spans="2:8" x14ac:dyDescent="0.3">
      <c r="B20" s="3">
        <v>46111</v>
      </c>
      <c r="C20" s="2" t="s">
        <v>1</v>
      </c>
      <c r="D20" s="2" t="s">
        <v>3</v>
      </c>
      <c r="E20" s="2" t="s">
        <v>4</v>
      </c>
      <c r="F20" s="2" t="s">
        <v>4</v>
      </c>
      <c r="G20" s="4">
        <v>-1800</v>
      </c>
    </row>
    <row r="21" spans="2:8" x14ac:dyDescent="0.3">
      <c r="B21" s="3">
        <v>46112</v>
      </c>
      <c r="C21" s="2" t="s">
        <v>1</v>
      </c>
      <c r="D21" s="2" t="s">
        <v>4</v>
      </c>
      <c r="E21" s="2" t="s">
        <v>3</v>
      </c>
      <c r="F21" s="2" t="s">
        <v>4</v>
      </c>
      <c r="G21" s="4">
        <v>75</v>
      </c>
    </row>
    <row r="22" spans="2:8" x14ac:dyDescent="0.3">
      <c r="B22" s="3"/>
      <c r="C22" s="2"/>
      <c r="D22" s="2"/>
      <c r="E22" s="2"/>
      <c r="F22" s="2"/>
      <c r="G22" s="4"/>
    </row>
    <row r="23" spans="2:8" x14ac:dyDescent="0.3">
      <c r="B23" s="3"/>
      <c r="C23" s="2"/>
      <c r="D23" s="2"/>
      <c r="E23" s="2"/>
      <c r="F23" s="2"/>
      <c r="G23" s="4">
        <f>SUM(G3:G22)</f>
        <v>-2550</v>
      </c>
    </row>
    <row r="24" spans="2:8" x14ac:dyDescent="0.3">
      <c r="B24" s="3"/>
      <c r="C24" s="2"/>
      <c r="D24" s="2"/>
      <c r="E24" s="2"/>
      <c r="F24" s="2"/>
      <c r="G24" s="4"/>
    </row>
    <row r="25" spans="2:8" x14ac:dyDescent="0.3">
      <c r="B25" s="1"/>
      <c r="D25" s="24" t="s">
        <v>2</v>
      </c>
      <c r="E25" s="24" t="s">
        <v>13</v>
      </c>
      <c r="F25" s="24" t="s">
        <v>11</v>
      </c>
      <c r="G25" s="5"/>
    </row>
    <row r="26" spans="2:8" x14ac:dyDescent="0.3">
      <c r="B26" s="1">
        <v>46113</v>
      </c>
      <c r="C26" s="2" t="s">
        <v>1</v>
      </c>
      <c r="D26" s="2" t="s">
        <v>3</v>
      </c>
      <c r="E26" s="2" t="s">
        <v>4</v>
      </c>
      <c r="F26" s="2" t="s">
        <v>4</v>
      </c>
      <c r="G26" s="6">
        <v>-1800</v>
      </c>
      <c r="H26" s="2"/>
    </row>
    <row r="27" spans="2:8" x14ac:dyDescent="0.3">
      <c r="B27" s="1">
        <v>46114</v>
      </c>
      <c r="C27" s="2" t="s">
        <v>0</v>
      </c>
      <c r="D27" s="2" t="s">
        <v>3</v>
      </c>
      <c r="E27" s="2" t="s">
        <v>4</v>
      </c>
      <c r="F27" s="2" t="s">
        <v>4</v>
      </c>
      <c r="G27" s="6">
        <v>-1800</v>
      </c>
      <c r="H27" s="2"/>
    </row>
    <row r="28" spans="2:8" x14ac:dyDescent="0.3">
      <c r="B28" s="1">
        <v>46118</v>
      </c>
      <c r="C28" s="2" t="s">
        <v>1</v>
      </c>
      <c r="D28" s="2" t="s">
        <v>3</v>
      </c>
      <c r="E28" s="2" t="s">
        <v>4</v>
      </c>
      <c r="F28" s="2" t="s">
        <v>4</v>
      </c>
      <c r="G28" s="6">
        <v>-1800</v>
      </c>
      <c r="H28" s="2"/>
    </row>
    <row r="29" spans="2:8" x14ac:dyDescent="0.3">
      <c r="B29" s="1">
        <v>46119</v>
      </c>
      <c r="C29" s="2" t="s">
        <v>1</v>
      </c>
      <c r="D29" s="2" t="s">
        <v>3</v>
      </c>
      <c r="E29" s="2" t="s">
        <v>4</v>
      </c>
      <c r="F29" s="2" t="s">
        <v>4</v>
      </c>
      <c r="G29" s="6">
        <v>-1800</v>
      </c>
      <c r="H29" s="2"/>
    </row>
    <row r="30" spans="2:8" x14ac:dyDescent="0.3">
      <c r="B30" s="1">
        <v>46120</v>
      </c>
      <c r="C30" s="2" t="s">
        <v>1</v>
      </c>
      <c r="D30" s="2" t="s">
        <v>4</v>
      </c>
      <c r="E30" s="2" t="s">
        <v>3</v>
      </c>
      <c r="F30" s="2" t="s">
        <v>3</v>
      </c>
      <c r="G30" s="4">
        <v>3300</v>
      </c>
      <c r="H30" s="2"/>
    </row>
    <row r="31" spans="2:8" x14ac:dyDescent="0.3">
      <c r="B31" s="1">
        <v>46122</v>
      </c>
      <c r="C31" s="2" t="s">
        <v>1</v>
      </c>
      <c r="D31" s="2" t="s">
        <v>4</v>
      </c>
      <c r="E31" s="2" t="s">
        <v>3</v>
      </c>
      <c r="F31" s="2" t="s">
        <v>3</v>
      </c>
      <c r="G31" s="4">
        <v>3300</v>
      </c>
      <c r="H31" s="2"/>
    </row>
    <row r="32" spans="2:8" x14ac:dyDescent="0.3">
      <c r="B32" s="1">
        <v>46125</v>
      </c>
      <c r="C32" s="2" t="s">
        <v>0</v>
      </c>
      <c r="D32" s="2" t="s">
        <v>4</v>
      </c>
      <c r="E32" s="2" t="s">
        <v>3</v>
      </c>
      <c r="F32" s="2" t="s">
        <v>4</v>
      </c>
      <c r="G32" s="4">
        <v>75</v>
      </c>
      <c r="H32" s="2"/>
    </row>
    <row r="33" spans="2:11" x14ac:dyDescent="0.3">
      <c r="B33" s="1">
        <v>46126</v>
      </c>
      <c r="C33" s="2" t="s">
        <v>1</v>
      </c>
      <c r="D33" s="2" t="s">
        <v>3</v>
      </c>
      <c r="E33" s="2" t="s">
        <v>4</v>
      </c>
      <c r="F33" s="2" t="s">
        <v>4</v>
      </c>
      <c r="G33" s="6">
        <v>-1800</v>
      </c>
      <c r="H33" s="2"/>
    </row>
    <row r="34" spans="2:11" x14ac:dyDescent="0.3">
      <c r="B34" s="1">
        <v>46129</v>
      </c>
      <c r="C34" s="2" t="s">
        <v>1</v>
      </c>
      <c r="D34" s="2" t="s">
        <v>4</v>
      </c>
      <c r="E34" s="2" t="s">
        <v>3</v>
      </c>
      <c r="F34" s="2" t="s">
        <v>3</v>
      </c>
      <c r="G34" s="4">
        <v>3300</v>
      </c>
      <c r="H34" s="2"/>
    </row>
    <row r="35" spans="2:11" x14ac:dyDescent="0.3">
      <c r="B35" s="1">
        <v>46132</v>
      </c>
      <c r="C35" s="2" t="s">
        <v>0</v>
      </c>
      <c r="D35" s="2" t="s">
        <v>4</v>
      </c>
      <c r="E35" s="2" t="s">
        <v>3</v>
      </c>
      <c r="F35" s="2" t="s">
        <v>4</v>
      </c>
      <c r="G35" s="4">
        <v>75</v>
      </c>
      <c r="H35" s="2"/>
    </row>
    <row r="36" spans="2:11" x14ac:dyDescent="0.3">
      <c r="B36" s="1">
        <v>46134</v>
      </c>
      <c r="C36" s="2" t="s">
        <v>1</v>
      </c>
      <c r="D36" s="2" t="s">
        <v>3</v>
      </c>
      <c r="E36" s="2" t="s">
        <v>4</v>
      </c>
      <c r="F36" s="2" t="s">
        <v>4</v>
      </c>
      <c r="G36" s="6">
        <v>-1800</v>
      </c>
      <c r="H36" s="2"/>
    </row>
    <row r="37" spans="2:11" x14ac:dyDescent="0.3">
      <c r="B37" s="1">
        <v>46135</v>
      </c>
      <c r="C37" s="2" t="s">
        <v>0</v>
      </c>
      <c r="D37" s="2" t="s">
        <v>3</v>
      </c>
      <c r="E37" s="2" t="s">
        <v>4</v>
      </c>
      <c r="F37" s="2" t="s">
        <v>4</v>
      </c>
      <c r="G37" s="6">
        <v>-1800</v>
      </c>
      <c r="H37" s="2"/>
    </row>
    <row r="38" spans="2:11" x14ac:dyDescent="0.3">
      <c r="B38" s="1">
        <v>46139</v>
      </c>
      <c r="C38" s="2" t="s">
        <v>1</v>
      </c>
      <c r="D38" s="2" t="s">
        <v>4</v>
      </c>
      <c r="E38" s="2" t="s">
        <v>3</v>
      </c>
      <c r="F38" s="2" t="s">
        <v>4</v>
      </c>
      <c r="G38" s="4">
        <v>75</v>
      </c>
      <c r="H38" s="2"/>
    </row>
    <row r="39" spans="2:11" x14ac:dyDescent="0.3">
      <c r="B39" s="1">
        <v>46140</v>
      </c>
      <c r="C39" s="2" t="s">
        <v>0</v>
      </c>
      <c r="D39" s="2" t="s">
        <v>4</v>
      </c>
      <c r="E39" s="2" t="s">
        <v>3</v>
      </c>
      <c r="F39" s="2" t="s">
        <v>4</v>
      </c>
      <c r="G39" s="4">
        <v>75</v>
      </c>
      <c r="H39" s="2"/>
    </row>
    <row r="40" spans="2:11" x14ac:dyDescent="0.3">
      <c r="B40" s="1">
        <v>46141</v>
      </c>
      <c r="C40" s="2" t="s">
        <v>1</v>
      </c>
      <c r="D40" s="2" t="s">
        <v>3</v>
      </c>
      <c r="E40" s="2" t="s">
        <v>4</v>
      </c>
      <c r="F40" s="2" t="s">
        <v>4</v>
      </c>
      <c r="G40" s="6">
        <v>-1800</v>
      </c>
      <c r="H40" s="2"/>
    </row>
    <row r="41" spans="2:11" x14ac:dyDescent="0.3">
      <c r="B41" s="1"/>
      <c r="D41" s="2"/>
      <c r="E41" s="2"/>
      <c r="F41" s="2"/>
      <c r="G41" s="4"/>
      <c r="H41" s="2"/>
    </row>
    <row r="42" spans="2:11" x14ac:dyDescent="0.3">
      <c r="B42" s="1"/>
      <c r="D42" s="2"/>
      <c r="E42" s="2"/>
      <c r="F42" s="2"/>
      <c r="G42" s="4">
        <f>SUM(G26:G41)</f>
        <v>-4200</v>
      </c>
      <c r="H42" s="2"/>
    </row>
    <row r="43" spans="2:11" x14ac:dyDescent="0.3">
      <c r="B43" s="1"/>
      <c r="D43" s="2"/>
      <c r="E43" s="2"/>
      <c r="F43" s="2"/>
      <c r="G43" s="4"/>
      <c r="H43" s="2"/>
    </row>
    <row r="44" spans="2:11" x14ac:dyDescent="0.3">
      <c r="B44" s="1"/>
      <c r="D44" s="24" t="s">
        <v>2</v>
      </c>
      <c r="E44" s="24" t="s">
        <v>13</v>
      </c>
      <c r="F44" s="24" t="s">
        <v>11</v>
      </c>
      <c r="G44" s="4"/>
      <c r="H44" s="2"/>
    </row>
    <row r="45" spans="2:11" x14ac:dyDescent="0.3">
      <c r="B45" s="1">
        <v>46146</v>
      </c>
      <c r="C45" s="24" t="s">
        <v>1</v>
      </c>
      <c r="D45" s="2" t="s">
        <v>4</v>
      </c>
      <c r="E45" s="2" t="s">
        <v>3</v>
      </c>
      <c r="F45" s="2" t="s">
        <v>4</v>
      </c>
      <c r="G45" s="4">
        <v>75</v>
      </c>
      <c r="H45" s="2"/>
      <c r="I45" s="2"/>
      <c r="J45" s="2"/>
      <c r="K45" s="2"/>
    </row>
    <row r="46" spans="2:11" x14ac:dyDescent="0.3">
      <c r="B46" s="1">
        <v>46147</v>
      </c>
      <c r="C46" s="24" t="s">
        <v>1</v>
      </c>
      <c r="D46" s="2" t="s">
        <v>4</v>
      </c>
      <c r="E46" s="2" t="s">
        <v>3</v>
      </c>
      <c r="F46" s="2" t="s">
        <v>16</v>
      </c>
      <c r="G46" s="4">
        <v>3300</v>
      </c>
      <c r="H46" s="2"/>
      <c r="I46" s="2"/>
      <c r="J46" s="2"/>
      <c r="K46" s="2"/>
    </row>
    <row r="47" spans="2:11" x14ac:dyDescent="0.3">
      <c r="B47" s="1">
        <v>46148</v>
      </c>
      <c r="C47" s="24" t="s">
        <v>1</v>
      </c>
      <c r="D47" s="2" t="s">
        <v>3</v>
      </c>
      <c r="E47" s="2" t="s">
        <v>4</v>
      </c>
      <c r="F47" s="2" t="s">
        <v>4</v>
      </c>
      <c r="G47" s="6">
        <v>-1800</v>
      </c>
      <c r="H47" s="2"/>
      <c r="I47" s="2"/>
      <c r="J47" s="2"/>
      <c r="K47" s="2"/>
    </row>
    <row r="48" spans="2:11" x14ac:dyDescent="0.3">
      <c r="B48" s="1">
        <v>46149</v>
      </c>
      <c r="C48" s="24" t="s">
        <v>15</v>
      </c>
      <c r="D48" s="2"/>
      <c r="E48" s="2"/>
      <c r="F48" s="2"/>
      <c r="G48" s="4"/>
      <c r="H48" s="2"/>
      <c r="I48" s="2"/>
      <c r="J48" s="2"/>
      <c r="K48" s="2"/>
    </row>
    <row r="49" spans="2:11" x14ac:dyDescent="0.3">
      <c r="B49" s="1">
        <v>46150</v>
      </c>
      <c r="C49" s="24" t="s">
        <v>1</v>
      </c>
      <c r="D49" s="2" t="s">
        <v>4</v>
      </c>
      <c r="E49" s="2" t="s">
        <v>3</v>
      </c>
      <c r="F49" s="2" t="s">
        <v>3</v>
      </c>
      <c r="G49" s="4">
        <v>3300</v>
      </c>
      <c r="H49" s="2"/>
      <c r="I49" s="2"/>
      <c r="J49" s="2"/>
      <c r="K49" s="2"/>
    </row>
    <row r="50" spans="2:11" x14ac:dyDescent="0.3">
      <c r="B50" s="1">
        <v>46153</v>
      </c>
      <c r="C50" s="24" t="s">
        <v>1</v>
      </c>
      <c r="D50" s="2" t="s">
        <v>4</v>
      </c>
      <c r="E50" s="2" t="s">
        <v>3</v>
      </c>
      <c r="F50" s="2" t="s">
        <v>4</v>
      </c>
      <c r="G50" s="4">
        <v>75</v>
      </c>
      <c r="H50" s="2"/>
      <c r="I50" s="2"/>
      <c r="J50" s="2"/>
      <c r="K50" s="2"/>
    </row>
    <row r="51" spans="2:11" x14ac:dyDescent="0.3">
      <c r="B51" s="1">
        <v>46154</v>
      </c>
      <c r="C51" s="24" t="s">
        <v>0</v>
      </c>
      <c r="D51" s="2" t="s">
        <v>3</v>
      </c>
      <c r="E51" s="2" t="s">
        <v>4</v>
      </c>
      <c r="F51" s="2" t="s">
        <v>4</v>
      </c>
      <c r="G51" s="6">
        <v>-1800</v>
      </c>
      <c r="H51" s="2"/>
      <c r="I51" s="2"/>
      <c r="J51" s="2"/>
      <c r="K51" s="2"/>
    </row>
    <row r="52" spans="2:11" x14ac:dyDescent="0.3">
      <c r="B52" s="1">
        <v>46155</v>
      </c>
      <c r="C52" s="24" t="s">
        <v>1</v>
      </c>
      <c r="D52" s="2" t="s">
        <v>3</v>
      </c>
      <c r="E52" s="2" t="s">
        <v>4</v>
      </c>
      <c r="F52" s="2" t="s">
        <v>4</v>
      </c>
      <c r="G52" s="6">
        <v>-1800</v>
      </c>
      <c r="H52" s="2"/>
      <c r="I52" s="2"/>
      <c r="J52" s="2"/>
      <c r="K52" s="2"/>
    </row>
    <row r="53" spans="2:11" x14ac:dyDescent="0.3">
      <c r="B53" s="1">
        <v>46156</v>
      </c>
      <c r="C53" s="24" t="s">
        <v>15</v>
      </c>
      <c r="D53" s="2"/>
      <c r="E53" s="2"/>
      <c r="F53" s="2"/>
      <c r="G53" s="4"/>
      <c r="H53" s="2"/>
      <c r="I53" s="2"/>
      <c r="J53" s="2"/>
      <c r="K53" s="2"/>
    </row>
    <row r="54" spans="2:11" x14ac:dyDescent="0.3">
      <c r="B54" s="1">
        <v>46157</v>
      </c>
      <c r="C54" s="24" t="s">
        <v>0</v>
      </c>
      <c r="D54" s="2" t="s">
        <v>4</v>
      </c>
      <c r="E54" s="2" t="s">
        <v>3</v>
      </c>
      <c r="F54" s="2" t="s">
        <v>3</v>
      </c>
      <c r="G54" s="4">
        <v>3300</v>
      </c>
      <c r="H54" s="2"/>
      <c r="I54" s="2"/>
      <c r="J54" s="2"/>
      <c r="K54" s="2"/>
    </row>
    <row r="55" spans="2:11" x14ac:dyDescent="0.3">
      <c r="B55" s="1">
        <v>46160</v>
      </c>
      <c r="C55" s="24" t="s">
        <v>1</v>
      </c>
      <c r="D55" s="2" t="s">
        <v>4</v>
      </c>
      <c r="E55" s="2" t="s">
        <v>3</v>
      </c>
      <c r="F55" s="2" t="s">
        <v>3</v>
      </c>
      <c r="G55" s="4">
        <v>3300</v>
      </c>
      <c r="H55" s="2"/>
      <c r="I55" s="2"/>
      <c r="J55" s="2"/>
      <c r="K55" s="2"/>
    </row>
    <row r="56" spans="2:11" x14ac:dyDescent="0.3">
      <c r="B56" s="1">
        <v>46161</v>
      </c>
      <c r="C56" s="24" t="s">
        <v>0</v>
      </c>
      <c r="D56" s="2" t="s">
        <v>3</v>
      </c>
      <c r="E56" s="2" t="s">
        <v>4</v>
      </c>
      <c r="F56" s="2" t="s">
        <v>3</v>
      </c>
      <c r="G56" s="6">
        <v>-1800</v>
      </c>
      <c r="H56" s="2"/>
      <c r="I56" s="2"/>
      <c r="J56" s="2"/>
      <c r="K56" s="2"/>
    </row>
    <row r="57" spans="2:11" x14ac:dyDescent="0.3">
      <c r="B57" s="1">
        <v>46162</v>
      </c>
      <c r="C57" s="24" t="s">
        <v>1</v>
      </c>
      <c r="D57" s="2" t="s">
        <v>3</v>
      </c>
      <c r="E57" s="2" t="s">
        <v>4</v>
      </c>
      <c r="F57" s="2" t="s">
        <v>4</v>
      </c>
      <c r="G57" s="6">
        <v>-1800</v>
      </c>
      <c r="H57" s="2"/>
      <c r="I57" s="2"/>
      <c r="J57" s="2"/>
      <c r="K57" s="2"/>
    </row>
    <row r="58" spans="2:11" x14ac:dyDescent="0.3">
      <c r="B58" s="1">
        <v>46163</v>
      </c>
      <c r="C58" s="24" t="s">
        <v>0</v>
      </c>
      <c r="D58" s="2" t="s">
        <v>3</v>
      </c>
      <c r="E58" s="2" t="s">
        <v>4</v>
      </c>
      <c r="F58" s="2" t="s">
        <v>4</v>
      </c>
      <c r="G58" s="6">
        <v>-1800</v>
      </c>
      <c r="H58" s="2"/>
      <c r="I58" s="2"/>
      <c r="J58" s="2"/>
      <c r="K58" s="2"/>
    </row>
    <row r="59" spans="2:11" x14ac:dyDescent="0.3">
      <c r="B59" s="1">
        <v>46164</v>
      </c>
      <c r="C59" s="24" t="s">
        <v>1</v>
      </c>
      <c r="D59" s="2" t="s">
        <v>4</v>
      </c>
      <c r="E59" s="2" t="s">
        <v>3</v>
      </c>
      <c r="F59" s="2" t="s">
        <v>4</v>
      </c>
      <c r="G59" s="4">
        <v>75</v>
      </c>
      <c r="H59" s="2"/>
      <c r="I59" s="2"/>
      <c r="J59" s="2"/>
      <c r="K59" s="2"/>
    </row>
    <row r="60" spans="2:11" x14ac:dyDescent="0.3">
      <c r="B60" s="1">
        <v>46167</v>
      </c>
      <c r="C60" s="24" t="s">
        <v>1</v>
      </c>
      <c r="D60" s="2" t="s">
        <v>4</v>
      </c>
      <c r="E60" s="2" t="s">
        <v>3</v>
      </c>
      <c r="F60" s="2" t="s">
        <v>3</v>
      </c>
      <c r="G60" s="4">
        <v>3300</v>
      </c>
      <c r="H60" s="2"/>
      <c r="I60" s="2"/>
      <c r="J60" s="2"/>
      <c r="K60" s="2"/>
    </row>
    <row r="61" spans="2:11" x14ac:dyDescent="0.3">
      <c r="B61" s="1">
        <v>46168</v>
      </c>
      <c r="C61" s="24" t="s">
        <v>0</v>
      </c>
      <c r="D61" s="2" t="s">
        <v>3</v>
      </c>
      <c r="E61" s="2" t="s">
        <v>4</v>
      </c>
      <c r="F61" s="2" t="s">
        <v>4</v>
      </c>
      <c r="G61" s="6">
        <v>-1800</v>
      </c>
      <c r="H61" s="2"/>
      <c r="I61" s="2"/>
      <c r="J61" s="2"/>
      <c r="K61" s="2"/>
    </row>
    <row r="62" spans="2:11" x14ac:dyDescent="0.3">
      <c r="B62" s="1">
        <v>46169</v>
      </c>
      <c r="C62" s="24" t="s">
        <v>0</v>
      </c>
      <c r="D62" s="2" t="s">
        <v>4</v>
      </c>
      <c r="E62" s="2" t="s">
        <v>3</v>
      </c>
      <c r="F62" s="2" t="s">
        <v>4</v>
      </c>
      <c r="G62" s="4">
        <v>75</v>
      </c>
      <c r="H62" s="2"/>
      <c r="I62" s="2"/>
      <c r="J62" s="2"/>
      <c r="K62" s="2"/>
    </row>
    <row r="63" spans="2:11" x14ac:dyDescent="0.3">
      <c r="B63" s="1">
        <v>46170</v>
      </c>
      <c r="C63" s="24" t="s">
        <v>0</v>
      </c>
      <c r="D63" s="2" t="s">
        <v>3</v>
      </c>
      <c r="E63" s="2" t="s">
        <v>4</v>
      </c>
      <c r="F63" s="2" t="s">
        <v>4</v>
      </c>
      <c r="G63" s="6">
        <v>-1800</v>
      </c>
      <c r="H63" s="2"/>
      <c r="I63" s="2"/>
      <c r="J63" s="2"/>
      <c r="K63" s="2"/>
    </row>
    <row r="64" spans="2:11" x14ac:dyDescent="0.3">
      <c r="B64" s="1">
        <v>46171</v>
      </c>
      <c r="C64" s="24" t="s">
        <v>0</v>
      </c>
      <c r="D64" s="2" t="s">
        <v>4</v>
      </c>
      <c r="E64" s="2" t="s">
        <v>3</v>
      </c>
      <c r="F64" s="2" t="s">
        <v>4</v>
      </c>
      <c r="G64" s="4">
        <v>75</v>
      </c>
      <c r="H64" s="2"/>
      <c r="I64" s="2"/>
      <c r="J64" s="2"/>
      <c r="K64" s="2"/>
    </row>
    <row r="65" spans="1:12" x14ac:dyDescent="0.3">
      <c r="B65" s="1"/>
      <c r="D65" s="2"/>
      <c r="E65" s="2"/>
      <c r="F65" s="2"/>
      <c r="G65" s="4"/>
      <c r="H65" s="2"/>
      <c r="I65" s="2"/>
      <c r="J65" s="2"/>
      <c r="K65" s="2"/>
    </row>
    <row r="66" spans="1:12" x14ac:dyDescent="0.3">
      <c r="B66" s="1"/>
      <c r="D66" s="2"/>
      <c r="E66" s="2"/>
      <c r="F66" s="2"/>
      <c r="G66" s="4">
        <f>SUM(G45:G65)</f>
        <v>2475</v>
      </c>
      <c r="H66" s="2"/>
      <c r="I66" s="2"/>
      <c r="J66" s="2"/>
      <c r="K66" s="2"/>
    </row>
    <row r="67" spans="1:12" x14ac:dyDescent="0.3">
      <c r="A67" s="2"/>
      <c r="B67" s="3"/>
      <c r="C67" s="2"/>
      <c r="D67" s="2"/>
      <c r="E67" s="2"/>
      <c r="F67" s="2"/>
      <c r="G67" s="4"/>
      <c r="H67" s="2"/>
      <c r="I67" s="2"/>
      <c r="J67" s="2"/>
      <c r="K67" s="2"/>
      <c r="L67" s="2"/>
    </row>
    <row r="68" spans="1:12" x14ac:dyDescent="0.3">
      <c r="A68" s="2"/>
      <c r="B68" s="3"/>
      <c r="C68" s="2"/>
      <c r="D68" s="24" t="s">
        <v>2</v>
      </c>
      <c r="E68" s="24" t="s">
        <v>13</v>
      </c>
      <c r="F68" s="24" t="s">
        <v>11</v>
      </c>
      <c r="G68" s="4"/>
      <c r="H68" s="2"/>
      <c r="I68" s="2"/>
      <c r="J68" s="2"/>
      <c r="K68" s="2"/>
      <c r="L68" s="2"/>
    </row>
    <row r="69" spans="1:12" x14ac:dyDescent="0.3">
      <c r="A69" s="2"/>
      <c r="B69" s="3">
        <v>46174</v>
      </c>
      <c r="C69" s="2" t="s">
        <v>1</v>
      </c>
      <c r="D69" s="2" t="s">
        <v>22</v>
      </c>
      <c r="E69" s="2"/>
      <c r="F69" s="2"/>
      <c r="G69" s="4"/>
      <c r="H69" s="2"/>
      <c r="I69" s="2"/>
      <c r="J69" s="2"/>
      <c r="K69" s="2"/>
      <c r="L69" s="2"/>
    </row>
    <row r="70" spans="1:12" x14ac:dyDescent="0.3">
      <c r="A70" s="2"/>
      <c r="B70" s="3">
        <v>46175</v>
      </c>
      <c r="C70" s="2" t="s">
        <v>1</v>
      </c>
      <c r="D70" s="2" t="s">
        <v>4</v>
      </c>
      <c r="E70" s="2" t="s">
        <v>3</v>
      </c>
      <c r="F70" s="2" t="s">
        <v>4</v>
      </c>
      <c r="G70" s="4">
        <v>75</v>
      </c>
      <c r="H70" s="2"/>
      <c r="I70" s="2"/>
      <c r="J70" s="2"/>
      <c r="K70" s="2"/>
      <c r="L70" s="2"/>
    </row>
    <row r="71" spans="1:12" x14ac:dyDescent="0.3">
      <c r="A71" s="2"/>
      <c r="B71" s="3">
        <v>46176</v>
      </c>
      <c r="C71" s="2" t="s">
        <v>0</v>
      </c>
      <c r="D71" s="2" t="s">
        <v>4</v>
      </c>
      <c r="E71" s="2" t="s">
        <v>3</v>
      </c>
      <c r="F71" s="2" t="s">
        <v>3</v>
      </c>
      <c r="G71" s="4">
        <v>3300</v>
      </c>
      <c r="H71" s="2"/>
      <c r="I71" s="2"/>
      <c r="J71" s="2"/>
      <c r="K71" s="2"/>
      <c r="L71" s="2"/>
    </row>
    <row r="72" spans="1:12" x14ac:dyDescent="0.3">
      <c r="A72" s="2"/>
      <c r="B72" s="3">
        <v>46178</v>
      </c>
      <c r="C72" s="2" t="s">
        <v>0</v>
      </c>
      <c r="D72" s="2" t="s">
        <v>4</v>
      </c>
      <c r="E72" s="2" t="s">
        <v>3</v>
      </c>
      <c r="F72" s="2" t="s">
        <v>3</v>
      </c>
      <c r="G72" s="4">
        <v>3300</v>
      </c>
      <c r="H72" s="2"/>
      <c r="I72" s="2"/>
      <c r="J72" s="2"/>
      <c r="K72" s="2"/>
      <c r="L72" s="2"/>
    </row>
    <row r="73" spans="1:12" x14ac:dyDescent="0.3">
      <c r="A73" s="2"/>
      <c r="B73" s="2"/>
      <c r="C73" s="2"/>
      <c r="D73" s="2"/>
      <c r="E73" s="2"/>
      <c r="F73" s="2"/>
      <c r="G73" s="4"/>
      <c r="H73" s="2"/>
      <c r="I73" s="2"/>
      <c r="J73" s="2"/>
      <c r="K73" s="2"/>
      <c r="L73" s="2"/>
    </row>
    <row r="74" spans="1:12" x14ac:dyDescent="0.3">
      <c r="A74" s="2"/>
      <c r="B74" s="2"/>
      <c r="C74" s="2"/>
      <c r="D74" s="2"/>
      <c r="E74" s="2"/>
      <c r="F74" s="2"/>
      <c r="G74" s="4"/>
      <c r="H74" s="2"/>
      <c r="I74" s="2"/>
      <c r="J74" s="2"/>
      <c r="K74" s="2"/>
      <c r="L74" s="2"/>
    </row>
    <row r="75" spans="1:12" x14ac:dyDescent="0.3">
      <c r="A75" s="2"/>
      <c r="B75" s="2"/>
      <c r="C75" s="2"/>
      <c r="D75" s="2"/>
      <c r="E75" s="2"/>
      <c r="F75" s="2"/>
      <c r="G75" s="4"/>
      <c r="H75" s="2"/>
      <c r="I75" s="2"/>
      <c r="J75" s="2"/>
      <c r="K75" s="2"/>
      <c r="L75" s="2"/>
    </row>
    <row r="76" spans="1:12" x14ac:dyDescent="0.3">
      <c r="A76" s="2"/>
      <c r="B76" s="2"/>
      <c r="C76" s="2"/>
      <c r="D76" s="2"/>
      <c r="E76" s="2"/>
      <c r="F76" s="2"/>
      <c r="G76" s="4"/>
      <c r="H76" s="2"/>
      <c r="I76" s="2"/>
      <c r="J76" s="2"/>
      <c r="K76" s="2"/>
      <c r="L76" s="2"/>
    </row>
    <row r="77" spans="1:12" x14ac:dyDescent="0.3">
      <c r="A77" s="2"/>
      <c r="B77" s="2"/>
      <c r="C77" s="2"/>
      <c r="D77" s="2"/>
      <c r="E77" s="2"/>
      <c r="F77" s="2"/>
      <c r="G77" s="4">
        <f>SUM(G70:G76)</f>
        <v>6675</v>
      </c>
      <c r="H77" s="2"/>
      <c r="I77" s="2"/>
      <c r="J77" s="2"/>
      <c r="K77" s="2"/>
      <c r="L77" s="2"/>
    </row>
    <row r="78" spans="1:12" x14ac:dyDescent="0.3">
      <c r="G78" s="5"/>
    </row>
    <row r="79" spans="1:12" x14ac:dyDescent="0.3">
      <c r="G79" s="5"/>
    </row>
    <row r="80" spans="1:12" x14ac:dyDescent="0.3">
      <c r="G80" s="5"/>
    </row>
    <row r="81" spans="7:7" x14ac:dyDescent="0.3">
      <c r="G81" s="5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36708-2838-410A-AB58-BEC1EDB29F16}">
  <dimension ref="A2:J80"/>
  <sheetViews>
    <sheetView topLeftCell="A46" workbookViewId="0">
      <selection activeCell="F65" sqref="F65"/>
    </sheetView>
  </sheetViews>
  <sheetFormatPr defaultRowHeight="14.4" x14ac:dyDescent="0.3"/>
  <cols>
    <col min="2" max="2" width="10.33203125" bestFit="1" customWidth="1"/>
    <col min="3" max="3" width="9.44140625" bestFit="1" customWidth="1"/>
    <col min="4" max="4" width="11.33203125" bestFit="1" customWidth="1"/>
    <col min="6" max="6" width="11.5546875" bestFit="1" customWidth="1"/>
  </cols>
  <sheetData>
    <row r="2" spans="1:6" x14ac:dyDescent="0.3">
      <c r="D2" s="24" t="s">
        <v>2</v>
      </c>
      <c r="E2" s="24" t="s">
        <v>11</v>
      </c>
    </row>
    <row r="3" spans="1:6" x14ac:dyDescent="0.3">
      <c r="A3" s="2">
        <v>1</v>
      </c>
      <c r="B3" s="3">
        <v>46085</v>
      </c>
      <c r="C3" s="2" t="s">
        <v>0</v>
      </c>
      <c r="D3" s="2" t="s">
        <v>4</v>
      </c>
      <c r="E3" s="2" t="s">
        <v>3</v>
      </c>
      <c r="F3" s="4">
        <v>2205</v>
      </c>
    </row>
    <row r="4" spans="1:6" x14ac:dyDescent="0.3">
      <c r="A4" s="2">
        <v>2</v>
      </c>
      <c r="B4" s="3">
        <v>46086</v>
      </c>
      <c r="C4" s="2" t="s">
        <v>1</v>
      </c>
      <c r="D4" s="2" t="s">
        <v>4</v>
      </c>
      <c r="E4" s="2" t="s">
        <v>3</v>
      </c>
      <c r="F4" s="4">
        <v>2205</v>
      </c>
    </row>
    <row r="5" spans="1:6" x14ac:dyDescent="0.3">
      <c r="A5" s="2">
        <v>3</v>
      </c>
      <c r="B5" s="3">
        <v>46087</v>
      </c>
      <c r="C5" s="2" t="s">
        <v>0</v>
      </c>
      <c r="D5" s="2" t="s">
        <v>3</v>
      </c>
      <c r="E5" s="2" t="s">
        <v>4</v>
      </c>
      <c r="F5" s="6">
        <v>-2100</v>
      </c>
    </row>
    <row r="6" spans="1:6" x14ac:dyDescent="0.3">
      <c r="A6" s="2">
        <v>4</v>
      </c>
      <c r="B6" s="3">
        <v>46090</v>
      </c>
      <c r="C6" s="2" t="s">
        <v>0</v>
      </c>
      <c r="D6" s="2" t="s">
        <v>3</v>
      </c>
      <c r="E6" s="2" t="s">
        <v>4</v>
      </c>
      <c r="F6" s="6">
        <v>-2100</v>
      </c>
    </row>
    <row r="7" spans="1:6" x14ac:dyDescent="0.3">
      <c r="A7" s="2">
        <v>5</v>
      </c>
      <c r="B7" s="3">
        <v>46091</v>
      </c>
      <c r="C7" s="2" t="s">
        <v>1</v>
      </c>
      <c r="D7" s="2" t="s">
        <v>3</v>
      </c>
      <c r="E7" s="2" t="s">
        <v>4</v>
      </c>
      <c r="F7" s="6">
        <v>-2100</v>
      </c>
    </row>
    <row r="8" spans="1:6" x14ac:dyDescent="0.3">
      <c r="A8" s="2">
        <v>6</v>
      </c>
      <c r="B8" s="3">
        <v>46092</v>
      </c>
      <c r="C8" s="2" t="s">
        <v>0</v>
      </c>
      <c r="D8" s="2" t="s">
        <v>4</v>
      </c>
      <c r="E8" s="2" t="s">
        <v>3</v>
      </c>
      <c r="F8" s="4">
        <v>2205</v>
      </c>
    </row>
    <row r="9" spans="1:6" x14ac:dyDescent="0.3">
      <c r="A9" s="2">
        <v>7</v>
      </c>
      <c r="B9" s="3">
        <v>46093</v>
      </c>
      <c r="C9" s="2" t="s">
        <v>1</v>
      </c>
      <c r="D9" s="2" t="s">
        <v>3</v>
      </c>
      <c r="E9" s="2" t="s">
        <v>4</v>
      </c>
      <c r="F9" s="6">
        <v>-2100</v>
      </c>
    </row>
    <row r="10" spans="1:6" x14ac:dyDescent="0.3">
      <c r="A10" s="2">
        <v>8</v>
      </c>
      <c r="B10" s="3">
        <v>46094</v>
      </c>
      <c r="C10" s="2" t="s">
        <v>0</v>
      </c>
      <c r="D10" s="2" t="s">
        <v>4</v>
      </c>
      <c r="E10" s="2" t="s">
        <v>3</v>
      </c>
      <c r="F10" s="4">
        <v>2205</v>
      </c>
    </row>
    <row r="11" spans="1:6" x14ac:dyDescent="0.3">
      <c r="A11" s="2">
        <v>9</v>
      </c>
      <c r="B11" s="3">
        <v>46097</v>
      </c>
      <c r="C11" s="2" t="s">
        <v>0</v>
      </c>
      <c r="D11" s="2" t="s">
        <v>4</v>
      </c>
      <c r="E11" s="2" t="s">
        <v>3</v>
      </c>
      <c r="F11" s="4">
        <v>2205</v>
      </c>
    </row>
    <row r="12" spans="1:6" x14ac:dyDescent="0.3">
      <c r="A12" s="2">
        <v>10</v>
      </c>
      <c r="B12" s="3">
        <v>46099</v>
      </c>
      <c r="C12" s="2" t="s">
        <v>1</v>
      </c>
      <c r="D12" s="2" t="s">
        <v>3</v>
      </c>
      <c r="E12" s="2" t="s">
        <v>4</v>
      </c>
      <c r="F12" s="6">
        <v>-2100</v>
      </c>
    </row>
    <row r="13" spans="1:6" x14ac:dyDescent="0.3">
      <c r="A13" s="2">
        <v>11</v>
      </c>
      <c r="B13" s="3">
        <v>46100</v>
      </c>
      <c r="C13" s="2" t="s">
        <v>1</v>
      </c>
      <c r="D13" s="2" t="s">
        <v>3</v>
      </c>
      <c r="E13" s="2" t="s">
        <v>4</v>
      </c>
      <c r="F13" s="6">
        <v>-2100</v>
      </c>
    </row>
    <row r="14" spans="1:6" x14ac:dyDescent="0.3">
      <c r="A14" s="2">
        <v>12</v>
      </c>
      <c r="B14" s="3">
        <v>46101</v>
      </c>
      <c r="C14" s="2" t="s">
        <v>0</v>
      </c>
      <c r="D14" s="2" t="s">
        <v>4</v>
      </c>
      <c r="E14" s="2" t="s">
        <v>3</v>
      </c>
      <c r="F14" s="4">
        <v>2205</v>
      </c>
    </row>
    <row r="15" spans="1:6" x14ac:dyDescent="0.3">
      <c r="A15" s="2">
        <v>13</v>
      </c>
      <c r="B15" s="3">
        <v>46104</v>
      </c>
      <c r="C15" s="2" t="s">
        <v>1</v>
      </c>
      <c r="D15" s="2" t="s">
        <v>4</v>
      </c>
      <c r="E15" s="2" t="s">
        <v>3</v>
      </c>
      <c r="F15" s="4">
        <v>2205</v>
      </c>
    </row>
    <row r="16" spans="1:6" x14ac:dyDescent="0.3">
      <c r="A16" s="2">
        <v>14</v>
      </c>
      <c r="B16" s="3">
        <v>46105</v>
      </c>
      <c r="C16" s="2" t="s">
        <v>1</v>
      </c>
      <c r="D16" s="2" t="s">
        <v>3</v>
      </c>
      <c r="E16" s="2" t="s">
        <v>4</v>
      </c>
      <c r="F16" s="6">
        <v>-2100</v>
      </c>
    </row>
    <row r="17" spans="1:6" x14ac:dyDescent="0.3">
      <c r="A17" s="2">
        <v>15</v>
      </c>
      <c r="B17" s="3">
        <v>46106</v>
      </c>
      <c r="C17" s="2" t="s">
        <v>1</v>
      </c>
      <c r="D17" s="2" t="s">
        <v>3</v>
      </c>
      <c r="E17" s="2" t="s">
        <v>4</v>
      </c>
      <c r="F17" s="6">
        <v>-2100</v>
      </c>
    </row>
    <row r="18" spans="1:6" x14ac:dyDescent="0.3">
      <c r="A18" s="2">
        <v>16</v>
      </c>
      <c r="B18" s="3">
        <v>46107</v>
      </c>
      <c r="C18" s="2" t="s">
        <v>0</v>
      </c>
      <c r="D18" s="2" t="s">
        <v>4</v>
      </c>
      <c r="E18" s="2" t="s">
        <v>3</v>
      </c>
      <c r="F18" s="4">
        <v>2205</v>
      </c>
    </row>
    <row r="19" spans="1:6" x14ac:dyDescent="0.3">
      <c r="A19" s="2">
        <v>17</v>
      </c>
      <c r="B19" s="3">
        <v>46108</v>
      </c>
      <c r="C19" s="2" t="s">
        <v>1</v>
      </c>
      <c r="D19" s="2" t="s">
        <v>4</v>
      </c>
      <c r="E19" s="2" t="s">
        <v>3</v>
      </c>
      <c r="F19" s="4">
        <v>2205</v>
      </c>
    </row>
    <row r="20" spans="1:6" x14ac:dyDescent="0.3">
      <c r="A20" s="2">
        <v>18</v>
      </c>
      <c r="B20" s="3">
        <v>46111</v>
      </c>
      <c r="C20" s="2" t="s">
        <v>1</v>
      </c>
      <c r="D20" s="2" t="s">
        <v>4</v>
      </c>
      <c r="E20" s="2" t="s">
        <v>3</v>
      </c>
      <c r="F20" s="4">
        <v>2205</v>
      </c>
    </row>
    <row r="21" spans="1:6" x14ac:dyDescent="0.3">
      <c r="A21" s="2">
        <v>19</v>
      </c>
      <c r="B21" s="3">
        <v>46112</v>
      </c>
      <c r="C21" s="2" t="s">
        <v>1</v>
      </c>
      <c r="D21" s="2" t="s">
        <v>4</v>
      </c>
      <c r="E21" s="2" t="s">
        <v>3</v>
      </c>
      <c r="F21" s="4">
        <v>2205</v>
      </c>
    </row>
    <row r="22" spans="1:6" x14ac:dyDescent="0.3">
      <c r="B22" s="2"/>
      <c r="C22" s="2"/>
      <c r="D22" s="2"/>
      <c r="E22" s="2"/>
      <c r="F22" s="4"/>
    </row>
    <row r="23" spans="1:6" x14ac:dyDescent="0.3">
      <c r="B23" s="2"/>
      <c r="C23" s="2"/>
      <c r="D23" s="2"/>
      <c r="E23" s="2"/>
      <c r="F23" s="4">
        <f>SUM(F3:F22)</f>
        <v>7455</v>
      </c>
    </row>
    <row r="24" spans="1:6" x14ac:dyDescent="0.3">
      <c r="D24" s="24" t="s">
        <v>2</v>
      </c>
      <c r="E24" s="24" t="s">
        <v>11</v>
      </c>
      <c r="F24" s="5"/>
    </row>
    <row r="25" spans="1:6" x14ac:dyDescent="0.3">
      <c r="A25" s="2">
        <v>1</v>
      </c>
      <c r="B25" s="1">
        <v>46113</v>
      </c>
      <c r="C25" s="2" t="s">
        <v>0</v>
      </c>
      <c r="D25" s="2" t="s">
        <v>4</v>
      </c>
      <c r="E25" s="2" t="s">
        <v>3</v>
      </c>
      <c r="F25" s="4">
        <v>2205</v>
      </c>
    </row>
    <row r="26" spans="1:6" x14ac:dyDescent="0.3">
      <c r="A26" s="2">
        <v>2</v>
      </c>
      <c r="B26" s="1">
        <v>46114</v>
      </c>
      <c r="C26" s="2" t="s">
        <v>0</v>
      </c>
      <c r="D26" s="2" t="s">
        <v>3</v>
      </c>
      <c r="E26" s="2" t="s">
        <v>4</v>
      </c>
      <c r="F26" s="6">
        <v>-2100</v>
      </c>
    </row>
    <row r="27" spans="1:6" x14ac:dyDescent="0.3">
      <c r="A27" s="2">
        <v>3</v>
      </c>
      <c r="B27" s="1">
        <v>46118</v>
      </c>
      <c r="C27" s="2" t="s">
        <v>1</v>
      </c>
      <c r="D27" s="2" t="s">
        <v>4</v>
      </c>
      <c r="E27" s="2" t="s">
        <v>3</v>
      </c>
      <c r="F27" s="4">
        <v>2205</v>
      </c>
    </row>
    <row r="28" spans="1:6" x14ac:dyDescent="0.3">
      <c r="A28" s="2">
        <v>4</v>
      </c>
      <c r="B28" s="1">
        <v>46119</v>
      </c>
      <c r="C28" s="2" t="s">
        <v>1</v>
      </c>
      <c r="D28" s="2" t="s">
        <v>4</v>
      </c>
      <c r="E28" s="2" t="s">
        <v>3</v>
      </c>
      <c r="F28" s="4">
        <v>2205</v>
      </c>
    </row>
    <row r="29" spans="1:6" x14ac:dyDescent="0.3">
      <c r="A29" s="2">
        <v>5</v>
      </c>
      <c r="B29" s="1">
        <v>46120</v>
      </c>
      <c r="C29" s="2" t="s">
        <v>0</v>
      </c>
      <c r="D29" s="2" t="s">
        <v>4</v>
      </c>
      <c r="E29" s="2" t="s">
        <v>3</v>
      </c>
      <c r="F29" s="4">
        <v>2205</v>
      </c>
    </row>
    <row r="30" spans="1:6" x14ac:dyDescent="0.3">
      <c r="A30" s="2">
        <v>6</v>
      </c>
      <c r="B30" s="1">
        <v>46121</v>
      </c>
      <c r="C30" s="2" t="s">
        <v>1</v>
      </c>
      <c r="D30" s="2" t="s">
        <v>4</v>
      </c>
      <c r="E30" s="2" t="s">
        <v>3</v>
      </c>
      <c r="F30" s="4">
        <v>2205</v>
      </c>
    </row>
    <row r="31" spans="1:6" x14ac:dyDescent="0.3">
      <c r="A31" s="2">
        <v>7</v>
      </c>
      <c r="B31" s="1">
        <v>46122</v>
      </c>
      <c r="C31" s="2" t="s">
        <v>0</v>
      </c>
      <c r="D31" s="2" t="s">
        <v>3</v>
      </c>
      <c r="E31" s="2" t="s">
        <v>4</v>
      </c>
      <c r="F31" s="6">
        <v>-2100</v>
      </c>
    </row>
    <row r="32" spans="1:6" x14ac:dyDescent="0.3">
      <c r="A32" s="2">
        <v>8</v>
      </c>
      <c r="B32" s="1">
        <v>46125</v>
      </c>
      <c r="C32" s="2" t="s">
        <v>0</v>
      </c>
      <c r="D32" s="2" t="s">
        <v>3</v>
      </c>
      <c r="E32" s="2" t="s">
        <v>4</v>
      </c>
      <c r="F32" s="6">
        <v>-2100</v>
      </c>
    </row>
    <row r="33" spans="1:6" x14ac:dyDescent="0.3">
      <c r="A33" s="2">
        <v>9</v>
      </c>
      <c r="B33" s="1">
        <v>46126</v>
      </c>
      <c r="C33" s="2" t="s">
        <v>1</v>
      </c>
      <c r="D33" s="2" t="s">
        <v>4</v>
      </c>
      <c r="E33" s="2" t="s">
        <v>3</v>
      </c>
      <c r="F33" s="4">
        <v>2205</v>
      </c>
    </row>
    <row r="34" spans="1:6" x14ac:dyDescent="0.3">
      <c r="A34" s="2">
        <v>10</v>
      </c>
      <c r="B34" s="1">
        <v>46127</v>
      </c>
      <c r="C34" s="2" t="s">
        <v>1</v>
      </c>
      <c r="D34" s="2" t="s">
        <v>4</v>
      </c>
      <c r="E34" s="2" t="s">
        <v>3</v>
      </c>
      <c r="F34" s="4">
        <v>2205</v>
      </c>
    </row>
    <row r="35" spans="1:6" x14ac:dyDescent="0.3">
      <c r="A35" s="2">
        <v>11</v>
      </c>
      <c r="B35" s="1">
        <v>46128</v>
      </c>
      <c r="C35" s="2" t="s">
        <v>0</v>
      </c>
      <c r="D35" s="2" t="s">
        <v>4</v>
      </c>
      <c r="E35" s="2" t="s">
        <v>3</v>
      </c>
      <c r="F35" s="4">
        <v>2205</v>
      </c>
    </row>
    <row r="36" spans="1:6" x14ac:dyDescent="0.3">
      <c r="A36" s="2">
        <v>12</v>
      </c>
      <c r="B36" s="1">
        <v>46129</v>
      </c>
      <c r="C36" s="2" t="s">
        <v>0</v>
      </c>
      <c r="D36" s="2" t="s">
        <v>3</v>
      </c>
      <c r="E36" s="2" t="s">
        <v>4</v>
      </c>
      <c r="F36" s="6">
        <v>-2100</v>
      </c>
    </row>
    <row r="37" spans="1:6" x14ac:dyDescent="0.3">
      <c r="A37" s="2">
        <v>13</v>
      </c>
      <c r="B37" s="1">
        <v>46132</v>
      </c>
      <c r="C37" s="2" t="s">
        <v>1</v>
      </c>
      <c r="D37" s="2" t="s">
        <v>4</v>
      </c>
      <c r="E37" s="2" t="s">
        <v>3</v>
      </c>
      <c r="F37" s="4">
        <v>2205</v>
      </c>
    </row>
    <row r="38" spans="1:6" x14ac:dyDescent="0.3">
      <c r="A38" s="2">
        <v>14</v>
      </c>
      <c r="B38" s="1">
        <v>46134</v>
      </c>
      <c r="C38" s="2" t="s">
        <v>1</v>
      </c>
      <c r="D38" s="2" t="s">
        <v>4</v>
      </c>
      <c r="E38" s="2" t="s">
        <v>3</v>
      </c>
      <c r="F38" s="4">
        <v>2205</v>
      </c>
    </row>
    <row r="39" spans="1:6" x14ac:dyDescent="0.3">
      <c r="A39" s="2">
        <v>15</v>
      </c>
      <c r="B39" s="1">
        <v>46135</v>
      </c>
      <c r="C39" s="2" t="s">
        <v>0</v>
      </c>
      <c r="D39" s="2" t="s">
        <v>4</v>
      </c>
      <c r="E39" s="2" t="s">
        <v>3</v>
      </c>
      <c r="F39" s="4">
        <v>2205</v>
      </c>
    </row>
    <row r="40" spans="1:6" x14ac:dyDescent="0.3">
      <c r="A40" s="2">
        <v>16</v>
      </c>
      <c r="B40" s="1">
        <v>46136</v>
      </c>
      <c r="C40" s="2" t="s">
        <v>0</v>
      </c>
      <c r="D40" s="2" t="s">
        <v>4</v>
      </c>
      <c r="E40" s="2" t="s">
        <v>3</v>
      </c>
      <c r="F40" s="4">
        <v>2205</v>
      </c>
    </row>
    <row r="41" spans="1:6" x14ac:dyDescent="0.3">
      <c r="A41" s="2">
        <v>17</v>
      </c>
      <c r="B41" s="1">
        <v>46139</v>
      </c>
      <c r="C41" s="2" t="s">
        <v>0</v>
      </c>
      <c r="D41" s="2" t="s">
        <v>4</v>
      </c>
      <c r="E41" s="2" t="s">
        <v>3</v>
      </c>
      <c r="F41" s="4">
        <v>2205</v>
      </c>
    </row>
    <row r="42" spans="1:6" x14ac:dyDescent="0.3">
      <c r="A42" s="2">
        <v>18</v>
      </c>
      <c r="B42" s="1">
        <v>46140</v>
      </c>
      <c r="C42" s="2" t="s">
        <v>1</v>
      </c>
      <c r="D42" s="2" t="s">
        <v>4</v>
      </c>
      <c r="E42" s="2" t="s">
        <v>3</v>
      </c>
      <c r="F42" s="4">
        <v>2205</v>
      </c>
    </row>
    <row r="43" spans="1:6" x14ac:dyDescent="0.3">
      <c r="A43" s="2">
        <v>19</v>
      </c>
      <c r="B43" s="1">
        <v>46141</v>
      </c>
      <c r="C43" s="2" t="s">
        <v>1</v>
      </c>
      <c r="D43" s="2" t="s">
        <v>3</v>
      </c>
      <c r="E43" s="2" t="s">
        <v>4</v>
      </c>
      <c r="F43" s="6">
        <v>-2100</v>
      </c>
    </row>
    <row r="44" spans="1:6" x14ac:dyDescent="0.3">
      <c r="A44" s="2">
        <v>20</v>
      </c>
      <c r="B44" s="1">
        <v>46142</v>
      </c>
      <c r="C44" s="2" t="s">
        <v>0</v>
      </c>
      <c r="D44" s="2" t="s">
        <v>4</v>
      </c>
      <c r="E44" s="2" t="s">
        <v>3</v>
      </c>
      <c r="F44" s="4">
        <v>2205</v>
      </c>
    </row>
    <row r="46" spans="1:6" x14ac:dyDescent="0.3">
      <c r="F46" s="5">
        <f>SUM(F25:F45)</f>
        <v>22575</v>
      </c>
    </row>
    <row r="47" spans="1:6" x14ac:dyDescent="0.3">
      <c r="F47" s="5"/>
    </row>
    <row r="48" spans="1:6" x14ac:dyDescent="0.3">
      <c r="D48" s="24" t="s">
        <v>2</v>
      </c>
      <c r="E48" s="24" t="s">
        <v>11</v>
      </c>
    </row>
    <row r="49" spans="1:10" x14ac:dyDescent="0.3">
      <c r="A49" s="2">
        <v>1</v>
      </c>
      <c r="B49" s="1">
        <v>46146</v>
      </c>
      <c r="C49" s="2" t="s">
        <v>1</v>
      </c>
      <c r="D49" s="2" t="s">
        <v>4</v>
      </c>
      <c r="E49" s="2" t="s">
        <v>3</v>
      </c>
      <c r="F49" s="4">
        <v>2205</v>
      </c>
      <c r="G49" s="2"/>
      <c r="H49" s="2"/>
      <c r="I49" s="2"/>
      <c r="J49" s="2"/>
    </row>
    <row r="50" spans="1:10" x14ac:dyDescent="0.3">
      <c r="A50" s="2">
        <v>2</v>
      </c>
      <c r="B50" s="1">
        <v>46147</v>
      </c>
      <c r="C50" s="2" t="s">
        <v>1</v>
      </c>
      <c r="D50" s="2" t="s">
        <v>4</v>
      </c>
      <c r="E50" s="2" t="s">
        <v>3</v>
      </c>
      <c r="F50" s="4">
        <v>2205</v>
      </c>
      <c r="G50" s="2"/>
      <c r="H50" s="2"/>
      <c r="I50" s="2"/>
      <c r="J50" s="2"/>
    </row>
    <row r="51" spans="1:10" x14ac:dyDescent="0.3">
      <c r="A51" s="2">
        <v>3</v>
      </c>
      <c r="B51" s="1">
        <v>46148</v>
      </c>
      <c r="C51" s="2" t="s">
        <v>1</v>
      </c>
      <c r="D51" s="2" t="s">
        <v>4</v>
      </c>
      <c r="E51" s="2" t="s">
        <v>3</v>
      </c>
      <c r="F51" s="4">
        <v>2205</v>
      </c>
      <c r="G51" s="2"/>
      <c r="H51" s="2"/>
      <c r="I51" s="2"/>
      <c r="J51" s="2"/>
    </row>
    <row r="52" spans="1:10" x14ac:dyDescent="0.3">
      <c r="A52" s="2">
        <v>4</v>
      </c>
      <c r="B52" s="1">
        <v>46149</v>
      </c>
      <c r="C52" s="2" t="s">
        <v>1</v>
      </c>
      <c r="D52" s="2" t="s">
        <v>4</v>
      </c>
      <c r="E52" s="2" t="s">
        <v>3</v>
      </c>
      <c r="F52" s="4">
        <v>2205</v>
      </c>
      <c r="G52" s="2"/>
      <c r="H52" s="2"/>
      <c r="I52" s="2"/>
      <c r="J52" s="2"/>
    </row>
    <row r="53" spans="1:10" x14ac:dyDescent="0.3">
      <c r="A53" s="2">
        <v>5</v>
      </c>
      <c r="B53" s="1">
        <v>46150</v>
      </c>
      <c r="C53" s="2" t="s">
        <v>21</v>
      </c>
      <c r="D53" s="2" t="s">
        <v>3</v>
      </c>
      <c r="E53" s="2" t="s">
        <v>4</v>
      </c>
      <c r="F53" s="6">
        <v>-2100</v>
      </c>
      <c r="G53" s="2"/>
      <c r="H53" s="2"/>
      <c r="I53" s="2"/>
      <c r="J53" s="2"/>
    </row>
    <row r="54" spans="1:10" x14ac:dyDescent="0.3">
      <c r="A54" s="2">
        <v>6</v>
      </c>
      <c r="B54" s="1">
        <v>46153</v>
      </c>
      <c r="C54" s="2" t="s">
        <v>1</v>
      </c>
      <c r="D54" s="2" t="s">
        <v>4</v>
      </c>
      <c r="E54" s="2" t="s">
        <v>3</v>
      </c>
      <c r="F54" s="4">
        <v>2205</v>
      </c>
      <c r="G54" s="2"/>
      <c r="H54" s="2"/>
      <c r="I54" s="2"/>
      <c r="J54" s="2"/>
    </row>
    <row r="55" spans="1:10" x14ac:dyDescent="0.3">
      <c r="A55" s="2">
        <v>7</v>
      </c>
      <c r="B55" s="1">
        <v>46154</v>
      </c>
      <c r="C55" s="2" t="s">
        <v>1</v>
      </c>
      <c r="D55" s="2" t="s">
        <v>4</v>
      </c>
      <c r="E55" s="2" t="s">
        <v>3</v>
      </c>
      <c r="F55" s="4">
        <v>2205</v>
      </c>
      <c r="G55" s="2"/>
      <c r="H55" s="2"/>
      <c r="I55" s="2"/>
      <c r="J55" s="2"/>
    </row>
    <row r="56" spans="1:10" x14ac:dyDescent="0.3">
      <c r="A56" s="2">
        <v>8</v>
      </c>
      <c r="B56" s="1">
        <v>46155</v>
      </c>
      <c r="C56" s="2" t="s">
        <v>1</v>
      </c>
      <c r="D56" s="2" t="s">
        <v>3</v>
      </c>
      <c r="E56" s="2" t="s">
        <v>4</v>
      </c>
      <c r="F56" s="6">
        <v>-2100</v>
      </c>
      <c r="G56" s="2"/>
      <c r="H56" s="2"/>
      <c r="I56" s="2"/>
      <c r="J56" s="2"/>
    </row>
    <row r="57" spans="1:10" x14ac:dyDescent="0.3">
      <c r="A57" s="2">
        <v>9</v>
      </c>
      <c r="B57" s="1">
        <v>46156</v>
      </c>
      <c r="C57" s="2" t="s">
        <v>21</v>
      </c>
      <c r="D57" s="2" t="s">
        <v>3</v>
      </c>
      <c r="E57" s="2" t="s">
        <v>4</v>
      </c>
      <c r="F57" s="6">
        <v>-2100</v>
      </c>
      <c r="G57" s="2"/>
      <c r="H57" s="2"/>
      <c r="I57" s="2"/>
      <c r="J57" s="2"/>
    </row>
    <row r="58" spans="1:10" x14ac:dyDescent="0.3">
      <c r="A58" s="2">
        <v>10</v>
      </c>
      <c r="B58" s="1">
        <v>46157</v>
      </c>
      <c r="C58" s="2" t="s">
        <v>1</v>
      </c>
      <c r="D58" s="2" t="s">
        <v>3</v>
      </c>
      <c r="E58" s="2" t="s">
        <v>4</v>
      </c>
      <c r="F58" s="6">
        <v>-2100</v>
      </c>
      <c r="G58" s="2"/>
      <c r="H58" s="2"/>
      <c r="I58" s="2"/>
      <c r="J58" s="2"/>
    </row>
    <row r="59" spans="1:10" x14ac:dyDescent="0.3">
      <c r="A59" s="2">
        <v>11</v>
      </c>
      <c r="B59" s="1">
        <v>46160</v>
      </c>
      <c r="C59" s="2" t="s">
        <v>21</v>
      </c>
      <c r="D59" s="2" t="s">
        <v>3</v>
      </c>
      <c r="E59" s="2" t="s">
        <v>4</v>
      </c>
      <c r="F59" s="6">
        <v>-2100</v>
      </c>
      <c r="G59" s="2"/>
      <c r="H59" s="2"/>
      <c r="I59" s="2"/>
      <c r="J59" s="2"/>
    </row>
    <row r="60" spans="1:10" x14ac:dyDescent="0.3">
      <c r="A60" s="2">
        <v>12</v>
      </c>
      <c r="B60" s="1">
        <v>46161</v>
      </c>
      <c r="C60" s="2" t="s">
        <v>1</v>
      </c>
      <c r="D60" s="2" t="s">
        <v>4</v>
      </c>
      <c r="E60" s="2" t="s">
        <v>3</v>
      </c>
      <c r="F60" s="4">
        <v>2205</v>
      </c>
      <c r="G60" s="2"/>
      <c r="H60" s="2"/>
      <c r="I60" s="2"/>
      <c r="J60" s="2"/>
    </row>
    <row r="61" spans="1:10" x14ac:dyDescent="0.3">
      <c r="A61" s="2">
        <v>13</v>
      </c>
      <c r="B61" s="1">
        <v>46162</v>
      </c>
      <c r="C61" s="2" t="s">
        <v>21</v>
      </c>
      <c r="D61" s="2" t="s">
        <v>4</v>
      </c>
      <c r="E61" s="2" t="s">
        <v>3</v>
      </c>
      <c r="F61" s="4">
        <v>2205</v>
      </c>
      <c r="G61" s="2"/>
      <c r="H61" s="2"/>
      <c r="I61" s="2"/>
      <c r="J61" s="2"/>
    </row>
    <row r="62" spans="1:10" x14ac:dyDescent="0.3">
      <c r="A62" s="2">
        <v>14</v>
      </c>
      <c r="B62" s="1">
        <v>46163</v>
      </c>
      <c r="C62" s="2" t="s">
        <v>21</v>
      </c>
      <c r="D62" s="2" t="s">
        <v>4</v>
      </c>
      <c r="E62" s="2" t="s">
        <v>3</v>
      </c>
      <c r="F62" s="4">
        <v>2205</v>
      </c>
      <c r="G62" s="2"/>
      <c r="H62" s="2"/>
      <c r="I62" s="2"/>
      <c r="J62" s="2"/>
    </row>
    <row r="63" spans="1:10" x14ac:dyDescent="0.3">
      <c r="A63" s="2">
        <v>15</v>
      </c>
      <c r="B63" s="1">
        <v>46164</v>
      </c>
      <c r="C63" s="2" t="s">
        <v>21</v>
      </c>
      <c r="D63" s="2" t="s">
        <v>4</v>
      </c>
      <c r="E63" s="2" t="s">
        <v>3</v>
      </c>
      <c r="F63" s="4">
        <v>2205</v>
      </c>
      <c r="G63" s="2"/>
      <c r="H63" s="2"/>
      <c r="I63" s="2"/>
      <c r="J63" s="2"/>
    </row>
    <row r="64" spans="1:10" x14ac:dyDescent="0.3">
      <c r="A64" s="2">
        <v>16</v>
      </c>
      <c r="B64" s="1">
        <v>46167</v>
      </c>
      <c r="C64" s="2" t="s">
        <v>21</v>
      </c>
      <c r="D64" s="2" t="s">
        <v>4</v>
      </c>
      <c r="E64" s="2" t="s">
        <v>3</v>
      </c>
      <c r="F64" s="4">
        <v>2205</v>
      </c>
      <c r="G64" s="2"/>
      <c r="H64" s="2"/>
      <c r="I64" s="2"/>
      <c r="J64" s="2"/>
    </row>
    <row r="65" spans="1:10" x14ac:dyDescent="0.3">
      <c r="A65" s="2">
        <v>17</v>
      </c>
      <c r="B65" s="1">
        <v>46168</v>
      </c>
      <c r="C65" s="2" t="s">
        <v>21</v>
      </c>
      <c r="D65" s="2" t="s">
        <v>3</v>
      </c>
      <c r="E65" s="2" t="s">
        <v>4</v>
      </c>
      <c r="F65" s="6">
        <v>-2100</v>
      </c>
      <c r="G65" s="2"/>
      <c r="H65" s="2"/>
      <c r="I65" s="2"/>
      <c r="J65" s="2"/>
    </row>
    <row r="66" spans="1:10" x14ac:dyDescent="0.3">
      <c r="A66" s="2">
        <v>18</v>
      </c>
      <c r="B66" s="1">
        <v>46169</v>
      </c>
      <c r="C66" s="2" t="s">
        <v>1</v>
      </c>
      <c r="D66" s="2" t="s">
        <v>4</v>
      </c>
      <c r="E66" s="2" t="s">
        <v>3</v>
      </c>
      <c r="F66" s="4">
        <v>2205</v>
      </c>
      <c r="G66" s="2"/>
      <c r="H66" s="2"/>
      <c r="I66" s="2"/>
      <c r="J66" s="2"/>
    </row>
    <row r="67" spans="1:10" x14ac:dyDescent="0.3">
      <c r="A67" s="2">
        <v>19</v>
      </c>
      <c r="B67" s="1">
        <v>46170</v>
      </c>
      <c r="C67" s="2" t="s">
        <v>1</v>
      </c>
      <c r="D67" s="2" t="s">
        <v>4</v>
      </c>
      <c r="E67" s="2" t="s">
        <v>3</v>
      </c>
      <c r="F67" s="4">
        <v>2205</v>
      </c>
      <c r="G67" s="2"/>
      <c r="H67" s="2"/>
      <c r="I67" s="2"/>
      <c r="J67" s="2"/>
    </row>
    <row r="68" spans="1:10" x14ac:dyDescent="0.3">
      <c r="A68" s="2">
        <v>20</v>
      </c>
      <c r="B68" s="1">
        <v>46171</v>
      </c>
      <c r="C68" s="2" t="s">
        <v>1</v>
      </c>
      <c r="D68" s="2" t="s">
        <v>3</v>
      </c>
      <c r="E68" s="2" t="s">
        <v>4</v>
      </c>
      <c r="F68" s="6">
        <v>-2100</v>
      </c>
      <c r="G68" s="2"/>
      <c r="H68" s="2"/>
      <c r="I68" s="2"/>
      <c r="J68" s="2"/>
    </row>
    <row r="69" spans="1:10" x14ac:dyDescent="0.3">
      <c r="C69" s="2"/>
      <c r="D69" s="2"/>
      <c r="E69" s="2"/>
      <c r="F69" s="2"/>
      <c r="G69" s="2"/>
      <c r="H69" s="2"/>
      <c r="I69" s="2"/>
      <c r="J69" s="2"/>
    </row>
    <row r="70" spans="1:10" x14ac:dyDescent="0.3">
      <c r="C70" s="2"/>
      <c r="D70" s="2"/>
      <c r="E70" s="2"/>
      <c r="F70" s="4">
        <f>SUM(F49:F69)</f>
        <v>13965</v>
      </c>
      <c r="G70" s="2"/>
      <c r="H70" s="2"/>
      <c r="I70" s="2"/>
      <c r="J70" s="2"/>
    </row>
    <row r="71" spans="1:10" x14ac:dyDescent="0.3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3">
      <c r="A72" s="2"/>
      <c r="B72" s="2"/>
      <c r="C72" s="2"/>
      <c r="D72" s="24" t="s">
        <v>2</v>
      </c>
      <c r="E72" s="24" t="s">
        <v>11</v>
      </c>
      <c r="F72" s="2"/>
      <c r="G72" s="2"/>
      <c r="H72" s="2"/>
      <c r="I72" s="2"/>
    </row>
    <row r="73" spans="1:10" x14ac:dyDescent="0.3">
      <c r="A73" s="2"/>
      <c r="B73" s="26">
        <v>46174</v>
      </c>
      <c r="C73" s="2" t="s">
        <v>1</v>
      </c>
      <c r="D73" s="2" t="s">
        <v>4</v>
      </c>
      <c r="E73" s="2" t="s">
        <v>3</v>
      </c>
      <c r="F73" s="4">
        <v>2205</v>
      </c>
      <c r="G73" s="2"/>
      <c r="H73" s="2"/>
      <c r="I73" s="2"/>
    </row>
    <row r="74" spans="1:10" x14ac:dyDescent="0.3">
      <c r="A74" s="2"/>
      <c r="B74" s="26">
        <v>46175</v>
      </c>
      <c r="C74" s="2" t="s">
        <v>0</v>
      </c>
      <c r="D74" s="2" t="s">
        <v>4</v>
      </c>
      <c r="E74" s="2" t="s">
        <v>3</v>
      </c>
      <c r="F74" s="4">
        <v>2205</v>
      </c>
      <c r="G74" s="2"/>
      <c r="H74" s="2"/>
      <c r="I74" s="2"/>
    </row>
    <row r="75" spans="1:10" x14ac:dyDescent="0.3">
      <c r="A75" s="2"/>
      <c r="B75" s="26">
        <v>46176</v>
      </c>
      <c r="C75" s="2" t="s">
        <v>1</v>
      </c>
      <c r="D75" s="2" t="s">
        <v>3</v>
      </c>
      <c r="E75" s="2" t="s">
        <v>4</v>
      </c>
      <c r="F75" s="6">
        <v>-2100</v>
      </c>
      <c r="G75" s="2"/>
      <c r="H75" s="2"/>
      <c r="I75" s="2"/>
    </row>
    <row r="76" spans="1:10" x14ac:dyDescent="0.3">
      <c r="A76" s="2"/>
      <c r="B76" s="26">
        <v>46178</v>
      </c>
      <c r="C76" s="2" t="s">
        <v>1</v>
      </c>
      <c r="D76" s="2" t="s">
        <v>15</v>
      </c>
      <c r="E76" s="2"/>
      <c r="F76" s="2"/>
      <c r="G76" s="2"/>
      <c r="H76" s="2"/>
      <c r="I76" s="2"/>
    </row>
    <row r="77" spans="1:10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10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10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10" x14ac:dyDescent="0.3">
      <c r="F80" s="5">
        <f>SUM(F73:F79)</f>
        <v>2310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560E0-0926-4C06-AC0E-1C5603F16542}">
  <dimension ref="A1:K81"/>
  <sheetViews>
    <sheetView topLeftCell="A58" workbookViewId="0">
      <selection activeCell="G71" sqref="G71"/>
    </sheetView>
  </sheetViews>
  <sheetFormatPr defaultRowHeight="14.4" x14ac:dyDescent="0.3"/>
  <cols>
    <col min="2" max="2" width="10.33203125" bestFit="1" customWidth="1"/>
    <col min="3" max="3" width="10.6640625" bestFit="1" customWidth="1"/>
    <col min="4" max="4" width="11.21875" bestFit="1" customWidth="1"/>
    <col min="5" max="6" width="9.88671875" bestFit="1" customWidth="1"/>
    <col min="7" max="7" width="11.5546875" bestFit="1" customWidth="1"/>
    <col min="9" max="10" width="11.5546875" bestFit="1" customWidth="1"/>
    <col min="11" max="11" width="10.5546875" bestFit="1" customWidth="1"/>
  </cols>
  <sheetData>
    <row r="1" spans="1:7" x14ac:dyDescent="0.3">
      <c r="A1" s="20" t="s">
        <v>17</v>
      </c>
      <c r="B1" s="20"/>
      <c r="C1" s="20"/>
      <c r="D1" t="s">
        <v>6</v>
      </c>
      <c r="E1" s="2">
        <v>14</v>
      </c>
    </row>
    <row r="2" spans="1:7" x14ac:dyDescent="0.3">
      <c r="D2" s="24" t="s">
        <v>2</v>
      </c>
      <c r="E2" s="24" t="s">
        <v>13</v>
      </c>
      <c r="F2" s="24" t="s">
        <v>11</v>
      </c>
      <c r="G2" s="5"/>
    </row>
    <row r="3" spans="1:7" x14ac:dyDescent="0.3">
      <c r="B3" s="3">
        <v>46085</v>
      </c>
      <c r="C3" s="2" t="s">
        <v>1</v>
      </c>
      <c r="D3" s="2" t="s">
        <v>3</v>
      </c>
      <c r="E3" s="2"/>
      <c r="F3" s="2" t="s">
        <v>4</v>
      </c>
      <c r="G3" s="6">
        <v>-1036.76</v>
      </c>
    </row>
    <row r="4" spans="1:7" x14ac:dyDescent="0.3">
      <c r="B4" s="3">
        <v>46086</v>
      </c>
      <c r="C4" s="2" t="s">
        <v>1</v>
      </c>
      <c r="D4" s="2" t="s">
        <v>3</v>
      </c>
      <c r="E4" s="2"/>
      <c r="F4" s="2" t="s">
        <v>4</v>
      </c>
      <c r="G4" s="6">
        <v>-1036.76</v>
      </c>
    </row>
    <row r="5" spans="1:7" x14ac:dyDescent="0.3">
      <c r="B5" s="3">
        <v>46087</v>
      </c>
      <c r="C5" s="2" t="s">
        <v>0</v>
      </c>
      <c r="D5" s="2" t="s">
        <v>4</v>
      </c>
      <c r="E5" s="2"/>
      <c r="F5" s="2" t="s">
        <v>3</v>
      </c>
      <c r="G5" s="4">
        <v>1494.96</v>
      </c>
    </row>
    <row r="6" spans="1:7" x14ac:dyDescent="0.3">
      <c r="B6" s="3">
        <v>46090</v>
      </c>
      <c r="C6" s="2" t="s">
        <v>0</v>
      </c>
      <c r="D6" s="2" t="s">
        <v>4</v>
      </c>
      <c r="E6" s="2"/>
      <c r="F6" s="2" t="s">
        <v>3</v>
      </c>
      <c r="G6" s="4">
        <v>1494.96</v>
      </c>
    </row>
    <row r="7" spans="1:7" x14ac:dyDescent="0.3">
      <c r="B7" s="3">
        <v>46091</v>
      </c>
      <c r="C7" s="2" t="s">
        <v>1</v>
      </c>
      <c r="D7" s="2" t="s">
        <v>4</v>
      </c>
      <c r="E7" s="2"/>
      <c r="F7" s="2" t="s">
        <v>3</v>
      </c>
      <c r="G7" s="4">
        <v>1494.96</v>
      </c>
    </row>
    <row r="8" spans="1:7" x14ac:dyDescent="0.3">
      <c r="B8" s="3">
        <v>46092</v>
      </c>
      <c r="C8" s="2" t="s">
        <v>1</v>
      </c>
      <c r="D8" s="2" t="s">
        <v>3</v>
      </c>
      <c r="E8" s="2"/>
      <c r="F8" s="2" t="s">
        <v>4</v>
      </c>
      <c r="G8" s="6">
        <v>-1036.76</v>
      </c>
    </row>
    <row r="9" spans="1:7" x14ac:dyDescent="0.3">
      <c r="B9" s="3">
        <v>46093</v>
      </c>
      <c r="C9" s="2" t="s">
        <v>0</v>
      </c>
      <c r="D9" s="2" t="s">
        <v>4</v>
      </c>
      <c r="E9" s="2"/>
      <c r="F9" s="2" t="s">
        <v>3</v>
      </c>
      <c r="G9" s="4">
        <v>1494.96</v>
      </c>
    </row>
    <row r="10" spans="1:7" x14ac:dyDescent="0.3">
      <c r="B10" s="3">
        <v>46094</v>
      </c>
      <c r="C10" s="2" t="s">
        <v>0</v>
      </c>
      <c r="D10" s="2" t="s">
        <v>4</v>
      </c>
      <c r="E10" s="2"/>
      <c r="F10" s="2" t="s">
        <v>3</v>
      </c>
      <c r="G10" s="4">
        <v>1494.96</v>
      </c>
    </row>
    <row r="11" spans="1:7" x14ac:dyDescent="0.3">
      <c r="B11" s="3">
        <v>46097</v>
      </c>
      <c r="C11" s="2" t="s">
        <v>1</v>
      </c>
      <c r="D11" s="2" t="s">
        <v>4</v>
      </c>
      <c r="E11" s="2"/>
      <c r="F11" s="2" t="s">
        <v>3</v>
      </c>
      <c r="G11" s="4">
        <v>1494.96</v>
      </c>
    </row>
    <row r="12" spans="1:7" x14ac:dyDescent="0.3">
      <c r="B12" s="3">
        <v>46099</v>
      </c>
      <c r="C12" s="2" t="s">
        <v>1</v>
      </c>
      <c r="D12" s="2" t="s">
        <v>3</v>
      </c>
      <c r="E12" s="2"/>
      <c r="F12" s="2" t="s">
        <v>4</v>
      </c>
      <c r="G12" s="6">
        <v>-1036.76</v>
      </c>
    </row>
    <row r="13" spans="1:7" x14ac:dyDescent="0.3">
      <c r="B13" s="3">
        <v>46100</v>
      </c>
      <c r="C13" s="2" t="s">
        <v>1</v>
      </c>
      <c r="D13" s="2" t="s">
        <v>4</v>
      </c>
      <c r="E13" s="2"/>
      <c r="F13" s="2" t="s">
        <v>3</v>
      </c>
      <c r="G13" s="4">
        <v>1494.96</v>
      </c>
    </row>
    <row r="14" spans="1:7" x14ac:dyDescent="0.3">
      <c r="B14" s="3">
        <v>46101</v>
      </c>
      <c r="C14" s="2" t="s">
        <v>0</v>
      </c>
      <c r="D14" s="2" t="s">
        <v>4</v>
      </c>
      <c r="E14" s="2"/>
      <c r="F14" s="2" t="s">
        <v>3</v>
      </c>
      <c r="G14" s="4">
        <v>1494.96</v>
      </c>
    </row>
    <row r="15" spans="1:7" x14ac:dyDescent="0.3">
      <c r="B15" s="3">
        <v>46104</v>
      </c>
      <c r="C15" s="2" t="s">
        <v>0</v>
      </c>
      <c r="D15" s="2" t="s">
        <v>3</v>
      </c>
      <c r="E15" s="2"/>
      <c r="F15" s="2" t="s">
        <v>4</v>
      </c>
      <c r="G15" s="6">
        <v>-1036.76</v>
      </c>
    </row>
    <row r="16" spans="1:7" x14ac:dyDescent="0.3">
      <c r="B16" s="3">
        <v>46105</v>
      </c>
      <c r="C16" s="2" t="s">
        <v>0</v>
      </c>
      <c r="D16" s="2" t="s">
        <v>4</v>
      </c>
      <c r="E16" s="2"/>
      <c r="F16" s="2" t="s">
        <v>3</v>
      </c>
      <c r="G16" s="4">
        <v>1494.96</v>
      </c>
    </row>
    <row r="17" spans="1:9" x14ac:dyDescent="0.3">
      <c r="B17" s="3">
        <v>46106</v>
      </c>
      <c r="C17" s="2" t="s">
        <v>1</v>
      </c>
      <c r="D17" s="2" t="s">
        <v>3</v>
      </c>
      <c r="E17" s="2"/>
      <c r="F17" s="2" t="s">
        <v>4</v>
      </c>
      <c r="G17" s="6">
        <v>-1036.76</v>
      </c>
    </row>
    <row r="18" spans="1:9" x14ac:dyDescent="0.3">
      <c r="B18" s="3">
        <v>46107</v>
      </c>
      <c r="C18" s="2" t="s">
        <v>0</v>
      </c>
      <c r="D18" s="2" t="s">
        <v>4</v>
      </c>
      <c r="E18" s="2"/>
      <c r="F18" s="2" t="s">
        <v>3</v>
      </c>
      <c r="G18" s="4">
        <v>1494.96</v>
      </c>
    </row>
    <row r="19" spans="1:9" x14ac:dyDescent="0.3">
      <c r="B19" s="3">
        <v>46108</v>
      </c>
      <c r="C19" s="2" t="s">
        <v>0</v>
      </c>
      <c r="D19" s="2" t="s">
        <v>4</v>
      </c>
      <c r="E19" s="2"/>
      <c r="F19" s="2" t="s">
        <v>3</v>
      </c>
      <c r="G19" s="4">
        <v>1494.96</v>
      </c>
    </row>
    <row r="20" spans="1:9" x14ac:dyDescent="0.3">
      <c r="B20" s="3">
        <v>46111</v>
      </c>
      <c r="C20" s="2" t="s">
        <v>1</v>
      </c>
      <c r="D20" s="2" t="s">
        <v>4</v>
      </c>
      <c r="E20" s="2"/>
      <c r="F20" s="2" t="s">
        <v>3</v>
      </c>
      <c r="G20" s="4">
        <v>1494.96</v>
      </c>
    </row>
    <row r="21" spans="1:9" x14ac:dyDescent="0.3">
      <c r="B21" s="3">
        <v>46112</v>
      </c>
      <c r="C21" s="2" t="s">
        <v>1</v>
      </c>
      <c r="D21" s="2" t="s">
        <v>4</v>
      </c>
      <c r="E21" s="2"/>
      <c r="F21" s="2" t="s">
        <v>3</v>
      </c>
      <c r="G21" s="4">
        <v>1494.96</v>
      </c>
    </row>
    <row r="22" spans="1:9" x14ac:dyDescent="0.3">
      <c r="B22" s="3"/>
      <c r="C22" s="2"/>
      <c r="D22" s="2"/>
      <c r="E22" s="2"/>
      <c r="F22" s="2"/>
      <c r="G22" s="4"/>
    </row>
    <row r="23" spans="1:9" x14ac:dyDescent="0.3">
      <c r="B23" s="3"/>
      <c r="C23" s="2"/>
      <c r="D23" s="2"/>
      <c r="E23" s="2"/>
      <c r="F23" s="2"/>
      <c r="G23" s="4">
        <f>SUM(G3:G22)</f>
        <v>13213.919999999998</v>
      </c>
      <c r="I23" s="5"/>
    </row>
    <row r="25" spans="1:9" x14ac:dyDescent="0.3">
      <c r="B25" s="1"/>
      <c r="D25" s="24" t="s">
        <v>2</v>
      </c>
      <c r="E25" s="24" t="s">
        <v>13</v>
      </c>
      <c r="F25" s="24" t="s">
        <v>11</v>
      </c>
    </row>
    <row r="26" spans="1:9" x14ac:dyDescent="0.3">
      <c r="A26" s="2">
        <v>1</v>
      </c>
      <c r="B26" s="1">
        <v>46113</v>
      </c>
      <c r="C26" s="2" t="s">
        <v>1</v>
      </c>
      <c r="D26" s="2" t="s">
        <v>4</v>
      </c>
      <c r="E26" s="2"/>
      <c r="F26" s="2" t="s">
        <v>3</v>
      </c>
      <c r="G26" s="4">
        <v>1494.96</v>
      </c>
    </row>
    <row r="27" spans="1:9" x14ac:dyDescent="0.3">
      <c r="A27" s="2">
        <v>2</v>
      </c>
      <c r="B27" s="1">
        <v>46114</v>
      </c>
      <c r="C27" s="2" t="s">
        <v>0</v>
      </c>
      <c r="D27" s="2" t="s">
        <v>3</v>
      </c>
      <c r="E27" s="2"/>
      <c r="F27" s="2" t="s">
        <v>4</v>
      </c>
      <c r="G27" s="6">
        <v>-1036.76</v>
      </c>
    </row>
    <row r="28" spans="1:9" x14ac:dyDescent="0.3">
      <c r="A28" s="2">
        <v>3</v>
      </c>
      <c r="B28" s="1">
        <v>46118</v>
      </c>
      <c r="C28" s="2" t="s">
        <v>1</v>
      </c>
      <c r="D28" s="2" t="s">
        <v>3</v>
      </c>
      <c r="E28" s="2"/>
      <c r="F28" s="2" t="s">
        <v>4</v>
      </c>
      <c r="G28" s="6">
        <v>-1036.76</v>
      </c>
    </row>
    <row r="29" spans="1:9" x14ac:dyDescent="0.3">
      <c r="A29" s="2">
        <v>4</v>
      </c>
      <c r="B29" s="1">
        <v>46119</v>
      </c>
      <c r="C29" s="2" t="s">
        <v>1</v>
      </c>
      <c r="D29" s="2" t="s">
        <v>3</v>
      </c>
      <c r="E29" s="2"/>
      <c r="F29" s="2" t="s">
        <v>4</v>
      </c>
      <c r="G29" s="6">
        <v>-1036.76</v>
      </c>
    </row>
    <row r="30" spans="1:9" x14ac:dyDescent="0.3">
      <c r="A30" s="2">
        <v>5</v>
      </c>
      <c r="B30" s="1">
        <v>46120</v>
      </c>
      <c r="C30" s="2" t="s">
        <v>1</v>
      </c>
      <c r="D30" s="2" t="s">
        <v>4</v>
      </c>
      <c r="E30" s="2"/>
      <c r="F30" s="2" t="s">
        <v>3</v>
      </c>
      <c r="G30" s="4">
        <v>1494.96</v>
      </c>
    </row>
    <row r="31" spans="1:9" x14ac:dyDescent="0.3">
      <c r="A31" s="2">
        <v>6</v>
      </c>
      <c r="B31" s="1">
        <v>46121</v>
      </c>
      <c r="C31" s="2" t="s">
        <v>0</v>
      </c>
      <c r="D31" s="2" t="s">
        <v>4</v>
      </c>
      <c r="E31" s="2"/>
      <c r="F31" s="2" t="s">
        <v>3</v>
      </c>
      <c r="G31" s="4">
        <v>1494.96</v>
      </c>
    </row>
    <row r="32" spans="1:9" x14ac:dyDescent="0.3">
      <c r="A32" s="2">
        <v>7</v>
      </c>
      <c r="B32" s="1">
        <v>46122</v>
      </c>
      <c r="C32" s="2" t="s">
        <v>1</v>
      </c>
      <c r="D32" s="2" t="s">
        <v>3</v>
      </c>
      <c r="E32" s="2"/>
      <c r="F32" s="2" t="s">
        <v>4</v>
      </c>
      <c r="G32" s="6">
        <v>-1036.76</v>
      </c>
    </row>
    <row r="33" spans="1:9" x14ac:dyDescent="0.3">
      <c r="A33" s="2">
        <v>8</v>
      </c>
      <c r="B33" s="1">
        <v>46125</v>
      </c>
      <c r="C33" s="2" t="s">
        <v>0</v>
      </c>
      <c r="D33" s="2" t="s">
        <v>4</v>
      </c>
      <c r="E33" s="2"/>
      <c r="F33" s="2" t="s">
        <v>3</v>
      </c>
      <c r="G33" s="4">
        <v>1494.96</v>
      </c>
    </row>
    <row r="34" spans="1:9" x14ac:dyDescent="0.3">
      <c r="A34" s="2">
        <v>9</v>
      </c>
      <c r="B34" s="1">
        <v>46126</v>
      </c>
      <c r="C34" s="2" t="s">
        <v>1</v>
      </c>
      <c r="D34" s="2" t="s">
        <v>4</v>
      </c>
      <c r="E34" s="2"/>
      <c r="F34" s="2" t="s">
        <v>3</v>
      </c>
      <c r="G34" s="4">
        <v>1494.96</v>
      </c>
    </row>
    <row r="35" spans="1:9" x14ac:dyDescent="0.3">
      <c r="A35" s="2">
        <v>10</v>
      </c>
      <c r="B35" s="1">
        <v>46127</v>
      </c>
      <c r="C35" s="2" t="s">
        <v>1</v>
      </c>
      <c r="D35" s="2" t="s">
        <v>3</v>
      </c>
      <c r="E35" s="2"/>
      <c r="F35" s="2" t="s">
        <v>4</v>
      </c>
      <c r="G35" s="6">
        <v>-1036.76</v>
      </c>
    </row>
    <row r="36" spans="1:9" x14ac:dyDescent="0.3">
      <c r="A36" s="2">
        <v>11</v>
      </c>
      <c r="B36" s="1">
        <v>46128</v>
      </c>
      <c r="C36" s="2" t="s">
        <v>1</v>
      </c>
      <c r="D36" s="2" t="s">
        <v>3</v>
      </c>
      <c r="E36" s="2"/>
      <c r="F36" s="2" t="s">
        <v>4</v>
      </c>
      <c r="G36" s="6">
        <v>-1036.76</v>
      </c>
    </row>
    <row r="37" spans="1:9" x14ac:dyDescent="0.3">
      <c r="A37" s="2">
        <v>12</v>
      </c>
      <c r="B37" s="1">
        <v>46129</v>
      </c>
      <c r="C37" s="2" t="s">
        <v>1</v>
      </c>
      <c r="D37" s="2" t="s">
        <v>3</v>
      </c>
      <c r="E37" s="2"/>
      <c r="F37" s="2" t="s">
        <v>4</v>
      </c>
      <c r="G37" s="6">
        <v>-1036.76</v>
      </c>
    </row>
    <row r="38" spans="1:9" x14ac:dyDescent="0.3">
      <c r="A38" s="2">
        <v>13</v>
      </c>
      <c r="B38" s="1">
        <v>46132</v>
      </c>
      <c r="C38" s="2" t="s">
        <v>0</v>
      </c>
      <c r="D38" s="2" t="s">
        <v>3</v>
      </c>
      <c r="E38" s="2"/>
      <c r="F38" s="2" t="s">
        <v>4</v>
      </c>
      <c r="G38" s="6">
        <v>-1036.76</v>
      </c>
    </row>
    <row r="39" spans="1:9" x14ac:dyDescent="0.3">
      <c r="A39" s="2">
        <v>14</v>
      </c>
      <c r="B39" s="1">
        <v>46134</v>
      </c>
      <c r="C39" s="2" t="s">
        <v>1</v>
      </c>
      <c r="D39" s="2" t="s">
        <v>3</v>
      </c>
      <c r="E39" s="2"/>
      <c r="F39" s="2" t="s">
        <v>4</v>
      </c>
      <c r="G39" s="6">
        <v>-1036.76</v>
      </c>
    </row>
    <row r="40" spans="1:9" x14ac:dyDescent="0.3">
      <c r="A40" s="2">
        <v>15</v>
      </c>
      <c r="B40" s="1">
        <v>46135</v>
      </c>
      <c r="C40" s="2" t="s">
        <v>0</v>
      </c>
      <c r="D40" s="2" t="s">
        <v>4</v>
      </c>
      <c r="E40" s="2"/>
      <c r="F40" s="2" t="s">
        <v>3</v>
      </c>
      <c r="G40" s="4">
        <v>1494.96</v>
      </c>
    </row>
    <row r="41" spans="1:9" x14ac:dyDescent="0.3">
      <c r="A41" s="2">
        <v>16</v>
      </c>
      <c r="B41" s="1">
        <v>46136</v>
      </c>
      <c r="C41" s="2" t="s">
        <v>0</v>
      </c>
      <c r="D41" s="2" t="s">
        <v>3</v>
      </c>
      <c r="E41" s="2"/>
      <c r="F41" s="2" t="s">
        <v>4</v>
      </c>
      <c r="G41" s="6">
        <v>-1036.76</v>
      </c>
    </row>
    <row r="42" spans="1:9" x14ac:dyDescent="0.3">
      <c r="A42" s="2">
        <v>17</v>
      </c>
      <c r="B42" s="1">
        <v>46139</v>
      </c>
      <c r="C42" s="2" t="s">
        <v>1</v>
      </c>
      <c r="D42" s="2" t="s">
        <v>3</v>
      </c>
      <c r="E42" s="2"/>
      <c r="F42" s="2" t="s">
        <v>4</v>
      </c>
      <c r="G42" s="6">
        <v>-1036.76</v>
      </c>
    </row>
    <row r="43" spans="1:9" x14ac:dyDescent="0.3">
      <c r="A43" s="2">
        <v>18</v>
      </c>
      <c r="B43" s="1">
        <v>46140</v>
      </c>
      <c r="C43" s="2" t="s">
        <v>0</v>
      </c>
      <c r="D43" s="2" t="s">
        <v>4</v>
      </c>
      <c r="E43" s="2"/>
      <c r="F43" s="2" t="s">
        <v>3</v>
      </c>
      <c r="G43" s="4">
        <v>1494.96</v>
      </c>
    </row>
    <row r="44" spans="1:9" x14ac:dyDescent="0.3">
      <c r="A44" s="2">
        <v>19</v>
      </c>
      <c r="B44" s="1">
        <v>46141</v>
      </c>
      <c r="C44" s="2" t="s">
        <v>1</v>
      </c>
      <c r="D44" s="2" t="s">
        <v>3</v>
      </c>
      <c r="E44" s="2"/>
      <c r="F44" s="2" t="s">
        <v>4</v>
      </c>
      <c r="G44" s="6">
        <v>-1036.76</v>
      </c>
    </row>
    <row r="45" spans="1:9" x14ac:dyDescent="0.3">
      <c r="A45" s="2">
        <v>20</v>
      </c>
      <c r="B45" s="1">
        <v>46142</v>
      </c>
      <c r="C45" s="2" t="s">
        <v>1</v>
      </c>
      <c r="D45" s="2" t="s">
        <v>4</v>
      </c>
      <c r="E45" s="2"/>
      <c r="F45" s="2" t="s">
        <v>3</v>
      </c>
      <c r="G45" s="4">
        <v>1494.96</v>
      </c>
    </row>
    <row r="47" spans="1:9" x14ac:dyDescent="0.3">
      <c r="G47" s="5">
        <f>SUM(G26:G46)</f>
        <v>-481.43999999999983</v>
      </c>
      <c r="I47" s="5"/>
    </row>
    <row r="49" spans="1:10" x14ac:dyDescent="0.3">
      <c r="D49" s="24" t="s">
        <v>2</v>
      </c>
      <c r="E49" s="24" t="s">
        <v>11</v>
      </c>
    </row>
    <row r="50" spans="1:10" x14ac:dyDescent="0.3">
      <c r="A50" s="2">
        <v>1</v>
      </c>
      <c r="B50" s="1">
        <v>46146</v>
      </c>
      <c r="C50" s="24" t="s">
        <v>1</v>
      </c>
      <c r="D50" s="2" t="s">
        <v>3</v>
      </c>
      <c r="E50" s="2" t="s">
        <v>4</v>
      </c>
      <c r="F50" s="2"/>
      <c r="G50" s="6">
        <v>-1036.76</v>
      </c>
      <c r="H50" s="2"/>
      <c r="I50" s="2"/>
      <c r="J50" s="2"/>
    </row>
    <row r="51" spans="1:10" x14ac:dyDescent="0.3">
      <c r="A51" s="2">
        <v>2</v>
      </c>
      <c r="B51" s="1">
        <v>46147</v>
      </c>
      <c r="C51" s="24" t="s">
        <v>1</v>
      </c>
      <c r="D51" s="2" t="s">
        <v>3</v>
      </c>
      <c r="E51" s="2" t="s">
        <v>4</v>
      </c>
      <c r="F51" s="2"/>
      <c r="G51" s="6">
        <v>-1036.76</v>
      </c>
      <c r="H51" s="2"/>
      <c r="I51" s="2"/>
      <c r="J51" s="2"/>
    </row>
    <row r="52" spans="1:10" x14ac:dyDescent="0.3">
      <c r="A52" s="2">
        <v>3</v>
      </c>
      <c r="B52" s="1">
        <v>46148</v>
      </c>
      <c r="C52" s="24" t="s">
        <v>1</v>
      </c>
      <c r="D52" s="2" t="s">
        <v>3</v>
      </c>
      <c r="E52" s="2" t="s">
        <v>4</v>
      </c>
      <c r="F52" s="2"/>
      <c r="G52" s="6">
        <v>-1036.76</v>
      </c>
      <c r="H52" s="2"/>
      <c r="I52" s="2"/>
      <c r="J52" s="2"/>
    </row>
    <row r="53" spans="1:10" x14ac:dyDescent="0.3">
      <c r="A53" s="2">
        <v>4</v>
      </c>
      <c r="B53" s="1">
        <v>46149</v>
      </c>
      <c r="C53" s="24" t="s">
        <v>15</v>
      </c>
      <c r="D53" s="2"/>
      <c r="E53" s="2"/>
      <c r="F53" s="2"/>
      <c r="G53" s="4"/>
      <c r="H53" s="2"/>
      <c r="I53" s="2"/>
      <c r="J53" s="2"/>
    </row>
    <row r="54" spans="1:10" x14ac:dyDescent="0.3">
      <c r="A54" s="2">
        <v>5</v>
      </c>
      <c r="B54" s="1">
        <v>46150</v>
      </c>
      <c r="C54" s="24" t="s">
        <v>1</v>
      </c>
      <c r="D54" s="2" t="s">
        <v>4</v>
      </c>
      <c r="E54" s="2" t="s">
        <v>3</v>
      </c>
      <c r="F54" s="2"/>
      <c r="G54" s="4">
        <v>1494.96</v>
      </c>
      <c r="H54" s="2"/>
      <c r="I54" s="2"/>
      <c r="J54" s="2"/>
    </row>
    <row r="55" spans="1:10" x14ac:dyDescent="0.3">
      <c r="A55" s="2">
        <v>6</v>
      </c>
      <c r="B55" s="1">
        <v>46153</v>
      </c>
      <c r="C55" s="24" t="s">
        <v>1</v>
      </c>
      <c r="D55" s="2" t="s">
        <v>3</v>
      </c>
      <c r="E55" s="2" t="s">
        <v>4</v>
      </c>
      <c r="F55" s="2"/>
      <c r="G55" s="6">
        <v>-1036.76</v>
      </c>
      <c r="H55" s="2"/>
      <c r="I55" s="2"/>
      <c r="J55" s="2"/>
    </row>
    <row r="56" spans="1:10" x14ac:dyDescent="0.3">
      <c r="A56" s="2">
        <v>7</v>
      </c>
      <c r="B56" s="1">
        <v>46154</v>
      </c>
      <c r="C56" s="24" t="s">
        <v>0</v>
      </c>
      <c r="D56" s="2" t="s">
        <v>4</v>
      </c>
      <c r="E56" s="2" t="s">
        <v>3</v>
      </c>
      <c r="F56" s="2"/>
      <c r="G56" s="4">
        <v>1494.96</v>
      </c>
      <c r="H56" s="2"/>
      <c r="I56" s="2"/>
      <c r="J56" s="2"/>
    </row>
    <row r="57" spans="1:10" x14ac:dyDescent="0.3">
      <c r="A57" s="2">
        <v>8</v>
      </c>
      <c r="B57" s="1">
        <v>46155</v>
      </c>
      <c r="C57" s="24" t="s">
        <v>1</v>
      </c>
      <c r="D57" s="2" t="s">
        <v>3</v>
      </c>
      <c r="E57" s="2" t="s">
        <v>4</v>
      </c>
      <c r="F57" s="2"/>
      <c r="G57" s="6">
        <v>-1036.76</v>
      </c>
      <c r="H57" s="2"/>
      <c r="I57" s="2"/>
      <c r="J57" s="2"/>
    </row>
    <row r="58" spans="1:10" x14ac:dyDescent="0.3">
      <c r="A58" s="2">
        <v>9</v>
      </c>
      <c r="B58" s="1">
        <v>46156</v>
      </c>
      <c r="C58" s="24" t="s">
        <v>15</v>
      </c>
      <c r="D58" s="2"/>
      <c r="E58" s="2"/>
      <c r="F58" s="2"/>
      <c r="G58" s="4"/>
      <c r="H58" s="2"/>
      <c r="I58" s="2"/>
      <c r="J58" s="2"/>
    </row>
    <row r="59" spans="1:10" x14ac:dyDescent="0.3">
      <c r="A59" s="2">
        <v>10</v>
      </c>
      <c r="B59" s="1">
        <v>46157</v>
      </c>
      <c r="C59" s="24" t="s">
        <v>0</v>
      </c>
      <c r="D59" s="2" t="s">
        <v>4</v>
      </c>
      <c r="E59" s="2" t="s">
        <v>3</v>
      </c>
      <c r="F59" s="2"/>
      <c r="G59" s="4">
        <v>1494.96</v>
      </c>
      <c r="H59" s="2"/>
      <c r="I59" s="2"/>
      <c r="J59" s="2"/>
    </row>
    <row r="60" spans="1:10" x14ac:dyDescent="0.3">
      <c r="A60" s="2">
        <v>11</v>
      </c>
      <c r="B60" s="1">
        <v>46160</v>
      </c>
      <c r="C60" s="24" t="s">
        <v>1</v>
      </c>
      <c r="D60" s="2" t="s">
        <v>4</v>
      </c>
      <c r="E60" s="2" t="s">
        <v>3</v>
      </c>
      <c r="F60" s="2"/>
      <c r="G60" s="4">
        <v>1494.96</v>
      </c>
      <c r="H60" s="2"/>
      <c r="I60" s="2"/>
      <c r="J60" s="2"/>
    </row>
    <row r="61" spans="1:10" x14ac:dyDescent="0.3">
      <c r="A61" s="2">
        <v>12</v>
      </c>
      <c r="B61" s="1">
        <v>46161</v>
      </c>
      <c r="C61" s="24" t="s">
        <v>0</v>
      </c>
      <c r="D61" s="2" t="s">
        <v>4</v>
      </c>
      <c r="E61" s="2" t="s">
        <v>3</v>
      </c>
      <c r="F61" s="2"/>
      <c r="G61" s="4">
        <v>1494.96</v>
      </c>
      <c r="H61" s="2"/>
      <c r="I61" s="2"/>
      <c r="J61" s="2"/>
    </row>
    <row r="62" spans="1:10" x14ac:dyDescent="0.3">
      <c r="A62" s="2">
        <v>13</v>
      </c>
      <c r="B62" s="1">
        <v>46162</v>
      </c>
      <c r="C62" s="24" t="s">
        <v>1</v>
      </c>
      <c r="D62" s="2" t="s">
        <v>4</v>
      </c>
      <c r="E62" s="2" t="s">
        <v>3</v>
      </c>
      <c r="F62" s="2"/>
      <c r="G62" s="4">
        <v>1494.96</v>
      </c>
      <c r="H62" s="2"/>
      <c r="I62" s="2"/>
      <c r="J62" s="2"/>
    </row>
    <row r="63" spans="1:10" x14ac:dyDescent="0.3">
      <c r="A63" s="2">
        <v>14</v>
      </c>
      <c r="B63" s="1">
        <v>46163</v>
      </c>
      <c r="C63" s="24" t="s">
        <v>0</v>
      </c>
      <c r="D63" s="2" t="s">
        <v>4</v>
      </c>
      <c r="E63" s="2" t="s">
        <v>3</v>
      </c>
      <c r="F63" s="2"/>
      <c r="G63" s="4">
        <v>1494.96</v>
      </c>
      <c r="H63" s="2"/>
      <c r="I63" s="2"/>
      <c r="J63" s="2"/>
    </row>
    <row r="64" spans="1:10" x14ac:dyDescent="0.3">
      <c r="A64" s="2">
        <v>15</v>
      </c>
      <c r="B64" s="1">
        <v>46164</v>
      </c>
      <c r="C64" s="24" t="s">
        <v>1</v>
      </c>
      <c r="D64" s="2" t="s">
        <v>3</v>
      </c>
      <c r="E64" s="2" t="s">
        <v>4</v>
      </c>
      <c r="F64" s="2"/>
      <c r="G64" s="6">
        <v>-1036.76</v>
      </c>
      <c r="H64" s="2"/>
      <c r="I64" s="2"/>
      <c r="J64" s="2"/>
    </row>
    <row r="65" spans="1:11" x14ac:dyDescent="0.3">
      <c r="A65" s="2">
        <v>16</v>
      </c>
      <c r="B65" s="1">
        <v>46167</v>
      </c>
      <c r="C65" s="24" t="s">
        <v>1</v>
      </c>
      <c r="D65" s="2" t="s">
        <v>4</v>
      </c>
      <c r="E65" s="2" t="s">
        <v>3</v>
      </c>
      <c r="F65" s="2"/>
      <c r="G65" s="4">
        <v>1494.96</v>
      </c>
      <c r="H65" s="2"/>
      <c r="I65" s="2"/>
      <c r="J65" s="2"/>
    </row>
    <row r="66" spans="1:11" x14ac:dyDescent="0.3">
      <c r="A66" s="2">
        <v>17</v>
      </c>
      <c r="B66" s="1">
        <v>46168</v>
      </c>
      <c r="C66" s="24" t="s">
        <v>0</v>
      </c>
      <c r="D66" s="2" t="s">
        <v>4</v>
      </c>
      <c r="E66" s="2" t="s">
        <v>3</v>
      </c>
      <c r="F66" s="2"/>
      <c r="G66" s="4">
        <v>1494.96</v>
      </c>
      <c r="H66" s="2"/>
      <c r="I66" s="2"/>
      <c r="J66" s="2"/>
    </row>
    <row r="67" spans="1:11" x14ac:dyDescent="0.3">
      <c r="A67" s="2">
        <v>18</v>
      </c>
      <c r="B67" s="1">
        <v>46169</v>
      </c>
      <c r="C67" s="24" t="s">
        <v>0</v>
      </c>
      <c r="D67" s="2" t="s">
        <v>4</v>
      </c>
      <c r="E67" s="2" t="s">
        <v>3</v>
      </c>
      <c r="F67" s="2"/>
      <c r="G67" s="4">
        <v>1494.96</v>
      </c>
      <c r="H67" s="2"/>
      <c r="I67" s="2"/>
      <c r="J67" s="2"/>
    </row>
    <row r="68" spans="1:11" x14ac:dyDescent="0.3">
      <c r="A68" s="2">
        <v>19</v>
      </c>
      <c r="B68" s="1">
        <v>46170</v>
      </c>
      <c r="C68" s="24" t="s">
        <v>0</v>
      </c>
      <c r="D68" s="2" t="s">
        <v>4</v>
      </c>
      <c r="E68" s="2" t="s">
        <v>3</v>
      </c>
      <c r="F68" s="2"/>
      <c r="G68" s="4">
        <v>1494.96</v>
      </c>
      <c r="H68" s="2"/>
      <c r="I68" s="2"/>
      <c r="J68" s="2"/>
    </row>
    <row r="69" spans="1:11" x14ac:dyDescent="0.3">
      <c r="A69" s="2">
        <v>20</v>
      </c>
      <c r="B69" s="1">
        <v>46171</v>
      </c>
      <c r="C69" s="24" t="s">
        <v>0</v>
      </c>
      <c r="D69" s="2" t="s">
        <v>3</v>
      </c>
      <c r="E69" s="2" t="s">
        <v>4</v>
      </c>
      <c r="F69" s="2"/>
      <c r="G69" s="6">
        <v>-1036.76</v>
      </c>
      <c r="H69" s="2"/>
      <c r="I69" s="2"/>
      <c r="J69" s="2"/>
    </row>
    <row r="70" spans="1:11" x14ac:dyDescent="0.3">
      <c r="D70" s="2"/>
      <c r="E70" s="2"/>
      <c r="F70" s="2"/>
      <c r="G70" s="2"/>
      <c r="H70" s="2"/>
      <c r="I70" s="2"/>
      <c r="J70" s="2"/>
    </row>
    <row r="71" spans="1:11" x14ac:dyDescent="0.3">
      <c r="D71" s="2"/>
      <c r="E71" s="2"/>
      <c r="F71" s="2"/>
      <c r="G71" s="4">
        <f>SUM(G50:G70)</f>
        <v>9187.24</v>
      </c>
      <c r="H71" s="2"/>
      <c r="I71" s="4"/>
      <c r="J71" s="2"/>
    </row>
    <row r="72" spans="1:11" x14ac:dyDescent="0.3">
      <c r="D72" s="2"/>
      <c r="E72" s="2"/>
      <c r="F72" s="2"/>
      <c r="G72" s="2"/>
      <c r="H72" s="2"/>
      <c r="I72" s="2"/>
      <c r="J72" s="2"/>
    </row>
    <row r="73" spans="1:11" x14ac:dyDescent="0.3">
      <c r="D73" s="24" t="s">
        <v>2</v>
      </c>
      <c r="E73" s="24" t="s">
        <v>11</v>
      </c>
      <c r="F73" s="2"/>
      <c r="G73" s="4"/>
      <c r="H73" s="2"/>
      <c r="I73" s="4"/>
      <c r="J73" s="4"/>
      <c r="K73" s="5"/>
    </row>
    <row r="74" spans="1:11" x14ac:dyDescent="0.3">
      <c r="B74" s="26">
        <v>46174</v>
      </c>
      <c r="C74" s="19" t="s">
        <v>1</v>
      </c>
      <c r="D74" s="2" t="s">
        <v>3</v>
      </c>
      <c r="E74" s="2" t="s">
        <v>4</v>
      </c>
      <c r="F74" s="2"/>
      <c r="G74" s="6">
        <v>-1036.76</v>
      </c>
      <c r="H74" s="2"/>
      <c r="I74" s="2"/>
      <c r="J74" s="2"/>
    </row>
    <row r="75" spans="1:11" x14ac:dyDescent="0.3">
      <c r="B75" s="26">
        <v>46175</v>
      </c>
      <c r="C75" s="19" t="s">
        <v>1</v>
      </c>
      <c r="D75" s="2" t="s">
        <v>4</v>
      </c>
      <c r="E75" s="2" t="s">
        <v>3</v>
      </c>
      <c r="F75" s="2"/>
      <c r="G75" s="4">
        <v>1494.96</v>
      </c>
      <c r="H75" s="2"/>
      <c r="I75" s="2"/>
      <c r="J75" s="2"/>
    </row>
    <row r="76" spans="1:11" x14ac:dyDescent="0.3">
      <c r="B76" s="26">
        <v>46176</v>
      </c>
      <c r="C76" s="19" t="s">
        <v>0</v>
      </c>
      <c r="D76" s="2" t="s">
        <v>4</v>
      </c>
      <c r="E76" s="2" t="s">
        <v>3</v>
      </c>
      <c r="F76" s="2"/>
      <c r="G76" s="4">
        <v>1494.96</v>
      </c>
      <c r="H76" s="2"/>
      <c r="I76" s="2"/>
      <c r="J76" s="2"/>
    </row>
    <row r="77" spans="1:11" x14ac:dyDescent="0.3">
      <c r="B77" s="26">
        <v>46178</v>
      </c>
      <c r="C77" s="19" t="s">
        <v>0</v>
      </c>
      <c r="D77" s="2" t="s">
        <v>3</v>
      </c>
      <c r="E77" s="2" t="s">
        <v>4</v>
      </c>
      <c r="F77" s="2"/>
      <c r="G77" s="6">
        <v>-1036.76</v>
      </c>
      <c r="H77" s="2"/>
      <c r="I77" s="2"/>
      <c r="J77" s="2"/>
    </row>
    <row r="78" spans="1:11" x14ac:dyDescent="0.3">
      <c r="D78" s="2"/>
      <c r="E78" s="2"/>
      <c r="F78" s="2"/>
      <c r="G78" s="2"/>
      <c r="H78" s="2"/>
      <c r="I78" s="2"/>
      <c r="J78" s="2"/>
    </row>
    <row r="79" spans="1:11" x14ac:dyDescent="0.3">
      <c r="D79" s="2"/>
      <c r="E79" s="2"/>
      <c r="F79" s="2"/>
      <c r="G79" s="2"/>
      <c r="H79" s="2"/>
      <c r="I79" s="2"/>
      <c r="J79" s="2"/>
    </row>
    <row r="80" spans="1:11" x14ac:dyDescent="0.3">
      <c r="D80" s="2"/>
      <c r="E80" s="2"/>
      <c r="F80" s="2"/>
      <c r="G80" s="2"/>
      <c r="H80" s="2"/>
      <c r="I80" s="2"/>
      <c r="J80" s="2"/>
    </row>
    <row r="81" spans="4:10" x14ac:dyDescent="0.3">
      <c r="D81" s="2"/>
      <c r="E81" s="2"/>
      <c r="F81" s="2"/>
      <c r="G81" s="4">
        <f>SUM(G74:G80)</f>
        <v>916.40000000000009</v>
      </c>
      <c r="H81" s="2"/>
      <c r="I81" s="2"/>
      <c r="J81" s="2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37A8-9D3F-4066-B909-41D4CCBFEBCF}">
  <dimension ref="A1:M88"/>
  <sheetViews>
    <sheetView tabSelected="1" workbookViewId="0">
      <selection activeCell="G89" sqref="G89"/>
    </sheetView>
  </sheetViews>
  <sheetFormatPr defaultRowHeight="14.4" x14ac:dyDescent="0.3"/>
  <cols>
    <col min="2" max="2" width="10.109375" bestFit="1" customWidth="1"/>
    <col min="3" max="3" width="12.6640625" bestFit="1" customWidth="1"/>
    <col min="4" max="4" width="18.44140625" customWidth="1"/>
    <col min="5" max="5" width="12.6640625" bestFit="1" customWidth="1"/>
    <col min="6" max="6" width="11.5546875" bestFit="1" customWidth="1"/>
  </cols>
  <sheetData>
    <row r="1" spans="1:13" x14ac:dyDescent="0.3">
      <c r="B1" s="20" t="s">
        <v>18</v>
      </c>
      <c r="C1" s="20"/>
      <c r="D1" s="20"/>
    </row>
    <row r="2" spans="1:13" x14ac:dyDescent="0.3">
      <c r="B2" s="20" t="s">
        <v>12</v>
      </c>
      <c r="C2" s="20"/>
      <c r="D2" s="4">
        <f>'ABERTURA INDICE'!H25</f>
        <v>11760</v>
      </c>
      <c r="F2" s="5"/>
    </row>
    <row r="3" spans="1:13" x14ac:dyDescent="0.3">
      <c r="B3" s="20" t="s">
        <v>17</v>
      </c>
      <c r="C3" s="20"/>
      <c r="D3" s="4">
        <f>'DOLAR ABERTURA'!G23</f>
        <v>-2550</v>
      </c>
    </row>
    <row r="4" spans="1:13" x14ac:dyDescent="0.3">
      <c r="B4" s="20" t="s">
        <v>10</v>
      </c>
      <c r="C4" s="20"/>
      <c r="D4" s="4">
        <f>'DOLAR RED'!F23</f>
        <v>7455</v>
      </c>
      <c r="F4" s="5"/>
      <c r="K4" s="20"/>
      <c r="L4" s="20"/>
      <c r="M4" s="20"/>
    </row>
    <row r="5" spans="1:13" ht="15.6" x14ac:dyDescent="0.3">
      <c r="B5" s="20" t="s">
        <v>19</v>
      </c>
      <c r="C5" s="20"/>
      <c r="D5" s="4">
        <f>'DI ABERTURA'!G23</f>
        <v>13213.919999999998</v>
      </c>
      <c r="E5" s="7"/>
      <c r="F5" s="5"/>
      <c r="K5" s="20"/>
      <c r="L5" s="20"/>
      <c r="M5" s="4"/>
    </row>
    <row r="6" spans="1:13" ht="15.6" x14ac:dyDescent="0.3">
      <c r="D6" s="7">
        <f>SUM(D2:D5)</f>
        <v>29878.92</v>
      </c>
      <c r="F6" s="5"/>
      <c r="K6" s="20"/>
      <c r="L6" s="20"/>
      <c r="M6" s="4"/>
    </row>
    <row r="7" spans="1:13" x14ac:dyDescent="0.3">
      <c r="K7" s="20"/>
      <c r="L7" s="20"/>
      <c r="M7" s="4"/>
    </row>
    <row r="8" spans="1:13" x14ac:dyDescent="0.3">
      <c r="B8" s="20" t="s">
        <v>18</v>
      </c>
      <c r="C8" s="20"/>
      <c r="D8" s="20"/>
      <c r="K8" s="20"/>
      <c r="L8" s="20"/>
      <c r="M8" s="4"/>
    </row>
    <row r="9" spans="1:13" ht="15.6" x14ac:dyDescent="0.3">
      <c r="A9" s="2">
        <v>1</v>
      </c>
      <c r="B9" s="26">
        <v>46085</v>
      </c>
      <c r="C9" s="5">
        <f>'ABERTURA INDICE'!H5+'DOLAR ABERTURA'!G3+'DOLAR RED'!F3+'DI ABERTURA'!G3</f>
        <v>8598.24</v>
      </c>
      <c r="D9" s="4">
        <f>C9</f>
        <v>8598.24</v>
      </c>
      <c r="M9" s="7"/>
    </row>
    <row r="10" spans="1:13" x14ac:dyDescent="0.3">
      <c r="A10" s="2">
        <v>2</v>
      </c>
      <c r="B10" s="26">
        <v>46086</v>
      </c>
      <c r="C10" s="5">
        <f>'ABERTURA INDICE'!H6+'DOLAR ABERTURA'!G4+'DOLAR RED'!F4+'DI ABERTURA'!G4</f>
        <v>-3151.76</v>
      </c>
      <c r="D10" s="4">
        <f>D9+C10</f>
        <v>5446.48</v>
      </c>
    </row>
    <row r="11" spans="1:13" x14ac:dyDescent="0.3">
      <c r="A11" s="2">
        <v>3</v>
      </c>
      <c r="B11" s="26">
        <v>46087</v>
      </c>
      <c r="C11" s="5">
        <f>'ABERTURA INDICE'!H7+'DOLAR ABERTURA'!G5+'DOLAR RED'!F5+'DI ABERTURA'!G5</f>
        <v>-4925.04</v>
      </c>
      <c r="D11" s="4">
        <f>D10+C11</f>
        <v>521.4399999999996</v>
      </c>
      <c r="K11" s="20"/>
      <c r="L11" s="20"/>
      <c r="M11" s="20"/>
    </row>
    <row r="12" spans="1:13" x14ac:dyDescent="0.3">
      <c r="A12" s="2">
        <v>4</v>
      </c>
      <c r="B12" s="26">
        <v>46090</v>
      </c>
      <c r="C12" s="5">
        <f>'ABERTURA INDICE'!H8+'DOLAR ABERTURA'!G6+'DOLAR RED'!F6+'DI ABERTURA'!G6</f>
        <v>-4925.04</v>
      </c>
      <c r="D12" s="6">
        <f>D11+C12</f>
        <v>-4403.6000000000004</v>
      </c>
      <c r="K12" s="26"/>
      <c r="L12" s="5"/>
      <c r="M12" s="4"/>
    </row>
    <row r="13" spans="1:13" x14ac:dyDescent="0.3">
      <c r="A13" s="2">
        <v>5</v>
      </c>
      <c r="B13" s="26">
        <v>46091</v>
      </c>
      <c r="C13" s="5">
        <f>'ABERTURA INDICE'!H9+'DOLAR ABERTURA'!G7+'DOLAR RED'!F7+'DI ABERTURA'!G7</f>
        <v>-1495.04</v>
      </c>
      <c r="D13" s="6">
        <f>D12+C13</f>
        <v>-5898.64</v>
      </c>
      <c r="K13" s="26"/>
      <c r="L13" s="5"/>
      <c r="M13" s="4"/>
    </row>
    <row r="14" spans="1:13" x14ac:dyDescent="0.3">
      <c r="A14" s="2">
        <v>6</v>
      </c>
      <c r="B14" s="26">
        <v>46092</v>
      </c>
      <c r="C14" s="5">
        <f>'ABERTURA INDICE'!H10+'DOLAR ABERTURA'!G8+'DOLAR RED'!F8+'DI ABERTURA'!G8</f>
        <v>1523.24</v>
      </c>
      <c r="D14" s="6">
        <f>D13+C14</f>
        <v>-4375.4000000000005</v>
      </c>
      <c r="K14" s="26"/>
      <c r="L14" s="5"/>
      <c r="M14" s="4"/>
    </row>
    <row r="15" spans="1:13" x14ac:dyDescent="0.3">
      <c r="A15" s="2">
        <v>7</v>
      </c>
      <c r="B15" s="26">
        <v>46093</v>
      </c>
      <c r="C15" s="5">
        <f>'ABERTURA INDICE'!H11+'DOLAR ABERTURA'!G9+'DOLAR RED'!F9</f>
        <v>2105</v>
      </c>
      <c r="D15" s="6">
        <f>D14+C15</f>
        <v>-2270.4000000000005</v>
      </c>
      <c r="K15" s="26"/>
      <c r="L15" s="5"/>
      <c r="M15" s="6"/>
    </row>
    <row r="16" spans="1:13" x14ac:dyDescent="0.3">
      <c r="A16" s="2">
        <v>8</v>
      </c>
      <c r="B16" s="26">
        <v>46094</v>
      </c>
      <c r="C16" s="5">
        <f>'ABERTURA INDICE'!H12+'DOLAR ABERTURA'!G10+'DOLAR RED'!F10+'DI ABERTURA'!G9</f>
        <v>2809.96</v>
      </c>
      <c r="D16" s="6">
        <f>D15+C16</f>
        <v>539.55999999999949</v>
      </c>
      <c r="K16" s="26"/>
      <c r="L16" s="5"/>
      <c r="M16" s="6"/>
    </row>
    <row r="17" spans="1:13" x14ac:dyDescent="0.3">
      <c r="A17" s="2">
        <v>9</v>
      </c>
      <c r="B17" s="24" t="s">
        <v>14</v>
      </c>
      <c r="C17" s="5">
        <f>'ABERTURA INDICE'!H13+'DOLAR ABERTURA'!G11+'DOLAR RED'!F11+'DI ABERTURA'!G11</f>
        <v>7909.96</v>
      </c>
      <c r="D17" s="4">
        <f>D16+C17</f>
        <v>8449.52</v>
      </c>
      <c r="K17" s="26"/>
      <c r="L17" s="5"/>
      <c r="M17" s="6"/>
    </row>
    <row r="18" spans="1:13" x14ac:dyDescent="0.3">
      <c r="A18" s="2">
        <v>10</v>
      </c>
      <c r="B18" s="26">
        <v>46099</v>
      </c>
      <c r="C18" s="5">
        <f>'ABERTURA INDICE'!H14+'DOLAR ABERTURA'!G12+'DOLAR RED'!F12+'DI ABERTURA'!G12</f>
        <v>-5581.76</v>
      </c>
      <c r="D18" s="6">
        <f>D17+C18</f>
        <v>2867.76</v>
      </c>
      <c r="K18" s="26"/>
      <c r="L18" s="5"/>
      <c r="M18" s="6"/>
    </row>
    <row r="19" spans="1:13" x14ac:dyDescent="0.3">
      <c r="A19" s="2">
        <v>11</v>
      </c>
      <c r="B19" s="26">
        <v>46100</v>
      </c>
      <c r="C19" s="5">
        <f>'ABERTURA INDICE'!H15+'DOLAR ABERTURA'!G13+'DOLAR RED'!F13+'DI ABERTURA'!G13</f>
        <v>-1495.04</v>
      </c>
      <c r="D19" s="6">
        <f>D18+C19</f>
        <v>1372.7200000000003</v>
      </c>
      <c r="K19" s="26"/>
      <c r="L19" s="5"/>
      <c r="M19" s="6"/>
    </row>
    <row r="20" spans="1:13" x14ac:dyDescent="0.3">
      <c r="A20" s="2">
        <v>12</v>
      </c>
      <c r="B20" s="26">
        <v>46101</v>
      </c>
      <c r="C20" s="5">
        <f>'ABERTURA INDICE'!H16+'DOLAR ABERTURA'!G14+'DOLAR RED'!F14+'DI ABERTURA'!G14</f>
        <v>2179.96</v>
      </c>
      <c r="D20" s="6">
        <f>D19+C20</f>
        <v>3552.6800000000003</v>
      </c>
      <c r="K20" s="24"/>
      <c r="L20" s="5"/>
      <c r="M20" s="4"/>
    </row>
    <row r="21" spans="1:13" x14ac:dyDescent="0.3">
      <c r="A21" s="2">
        <v>13</v>
      </c>
      <c r="B21" s="26">
        <v>46104</v>
      </c>
      <c r="C21" s="5">
        <f>'ABERTURA INDICE'!H17+'DOLAR ABERTURA'!G15+'DOLAR RED'!F15+'DI ABERTURA'!G15</f>
        <v>5378.24</v>
      </c>
      <c r="D21" s="4">
        <f>D20+C21</f>
        <v>8930.92</v>
      </c>
      <c r="K21" s="26"/>
      <c r="L21" s="5"/>
      <c r="M21" s="6"/>
    </row>
    <row r="22" spans="1:13" x14ac:dyDescent="0.3">
      <c r="A22" s="2">
        <v>14</v>
      </c>
      <c r="B22" s="26">
        <v>46105</v>
      </c>
      <c r="C22" s="5">
        <f>'ABERTURA INDICE'!H18+'DOLAR ABERTURA'!G16+'DOLAR RED'!F16+'DI ABERTURA'!G16</f>
        <v>6824.96</v>
      </c>
      <c r="D22" s="4">
        <f>D21+C22</f>
        <v>15755.880000000001</v>
      </c>
      <c r="K22" s="26"/>
      <c r="L22" s="5"/>
      <c r="M22" s="6"/>
    </row>
    <row r="23" spans="1:13" x14ac:dyDescent="0.3">
      <c r="A23" s="2">
        <v>15</v>
      </c>
      <c r="B23" s="26">
        <v>46106</v>
      </c>
      <c r="C23" s="5">
        <f>'ABERTURA INDICE'!H19+'DOLAR ABERTURA'!G17+'DOLAR RED'!F17+'DI ABERTURA'!G17</f>
        <v>-4026.76</v>
      </c>
      <c r="D23" s="4">
        <f>D22+C23</f>
        <v>11729.12</v>
      </c>
      <c r="K23" s="26"/>
      <c r="L23" s="5"/>
      <c r="M23" s="6"/>
    </row>
    <row r="24" spans="1:13" x14ac:dyDescent="0.3">
      <c r="A24" s="2">
        <v>16</v>
      </c>
      <c r="B24" s="26">
        <v>46107</v>
      </c>
      <c r="C24" s="5">
        <f>'ABERTURA INDICE'!H20+'DOLAR ABERTURA'!G18+'DOLAR RED'!F18+'DI ABERTURA'!G18</f>
        <v>4684.96</v>
      </c>
      <c r="D24" s="4">
        <f>D23+C24</f>
        <v>16414.080000000002</v>
      </c>
      <c r="K24" s="26"/>
      <c r="L24" s="5"/>
      <c r="M24" s="4"/>
    </row>
    <row r="25" spans="1:13" x14ac:dyDescent="0.3">
      <c r="A25" s="2">
        <v>17</v>
      </c>
      <c r="B25" s="26">
        <v>46108</v>
      </c>
      <c r="C25" s="5">
        <f>'ABERTURA INDICE'!H21+'DOLAR ABERTURA'!G19+'DOLAR RED'!F19+'DI ABERTURA'!G19</f>
        <v>4684.96</v>
      </c>
      <c r="D25" s="4">
        <f>D24+C25</f>
        <v>21099.040000000001</v>
      </c>
      <c r="K25" s="26"/>
      <c r="L25" s="5"/>
      <c r="M25" s="4"/>
    </row>
    <row r="26" spans="1:13" x14ac:dyDescent="0.3">
      <c r="A26" s="2">
        <v>18</v>
      </c>
      <c r="B26" s="26">
        <v>46111</v>
      </c>
      <c r="C26" s="5">
        <f>'ABERTURA INDICE'!H22+'DOLAR ABERTURA'!G20+'DOLAR RED'!F20+'DI ABERTURA'!G20</f>
        <v>-620.04</v>
      </c>
      <c r="D26" s="4">
        <f>D25+C26</f>
        <v>20479</v>
      </c>
      <c r="K26" s="26"/>
      <c r="L26" s="5"/>
      <c r="M26" s="4"/>
    </row>
    <row r="27" spans="1:13" x14ac:dyDescent="0.3">
      <c r="A27" s="2">
        <v>19</v>
      </c>
      <c r="B27" s="26">
        <v>46112</v>
      </c>
      <c r="C27" s="5">
        <f>'ABERTURA INDICE'!H23+'DOLAR ABERTURA'!G21+'DOLAR RED'!F21+'DI ABERTURA'!G21</f>
        <v>7904.96</v>
      </c>
      <c r="D27" s="4">
        <f>D26+C27</f>
        <v>28383.96</v>
      </c>
      <c r="K27" s="26"/>
      <c r="L27" s="5"/>
      <c r="M27" s="4"/>
    </row>
    <row r="28" spans="1:13" ht="15.6" x14ac:dyDescent="0.3">
      <c r="C28" s="31">
        <f>SUM(C9:C27)</f>
        <v>28383.96</v>
      </c>
      <c r="K28" s="26"/>
      <c r="L28" s="5"/>
      <c r="M28" s="4"/>
    </row>
    <row r="29" spans="1:13" ht="15.6" x14ac:dyDescent="0.3">
      <c r="C29" s="31"/>
      <c r="K29" s="26"/>
      <c r="L29" s="5"/>
      <c r="M29" s="4"/>
    </row>
    <row r="30" spans="1:13" x14ac:dyDescent="0.3">
      <c r="B30" s="20" t="s">
        <v>20</v>
      </c>
      <c r="C30" s="20"/>
      <c r="D30" s="20"/>
      <c r="K30" s="26"/>
      <c r="L30" s="5"/>
      <c r="M30" s="4"/>
    </row>
    <row r="31" spans="1:13" ht="15.6" x14ac:dyDescent="0.3">
      <c r="B31" s="20" t="s">
        <v>12</v>
      </c>
      <c r="C31" s="20"/>
      <c r="D31" s="4">
        <f>'ABERTURA INDICE'!H48</f>
        <v>4270</v>
      </c>
      <c r="L31" s="31"/>
    </row>
    <row r="32" spans="1:13" x14ac:dyDescent="0.3">
      <c r="B32" s="20" t="s">
        <v>17</v>
      </c>
      <c r="C32" s="20"/>
      <c r="D32" s="4">
        <f>'DOLAR ABERTURA'!G42</f>
        <v>-4200</v>
      </c>
    </row>
    <row r="33" spans="2:10" x14ac:dyDescent="0.3">
      <c r="B33" s="20" t="s">
        <v>10</v>
      </c>
      <c r="C33" s="20"/>
      <c r="D33" s="4">
        <f>'DOLAR RED'!F46</f>
        <v>22575</v>
      </c>
    </row>
    <row r="34" spans="2:10" x14ac:dyDescent="0.3">
      <c r="B34" s="20" t="s">
        <v>19</v>
      </c>
      <c r="C34" s="20"/>
      <c r="D34" s="4">
        <f>'DI ABERTURA'!G47</f>
        <v>-481.43999999999983</v>
      </c>
    </row>
    <row r="35" spans="2:10" x14ac:dyDescent="0.3">
      <c r="C35" s="5"/>
      <c r="D35" s="4">
        <f>SUM(D31:D34)</f>
        <v>22163.56</v>
      </c>
    </row>
    <row r="36" spans="2:10" x14ac:dyDescent="0.3">
      <c r="B36" s="20" t="s">
        <v>20</v>
      </c>
      <c r="C36" s="20"/>
      <c r="D36" s="20"/>
      <c r="E36" s="20"/>
    </row>
    <row r="37" spans="2:10" x14ac:dyDescent="0.3">
      <c r="B37" s="24">
        <v>1</v>
      </c>
      <c r="C37" s="26">
        <v>46113</v>
      </c>
      <c r="D37" s="4">
        <f>'ABERTURA INDICE'!H28+'DOLAR ABERTURA'!G26+'DOLAR RED'!F25+'DI ABERTURA'!G26</f>
        <v>2179.96</v>
      </c>
      <c r="E37" s="4">
        <f>D37</f>
        <v>2179.96</v>
      </c>
      <c r="F37" s="4"/>
    </row>
    <row r="38" spans="2:10" x14ac:dyDescent="0.3">
      <c r="B38" s="24">
        <v>2</v>
      </c>
      <c r="C38" s="26">
        <v>46114</v>
      </c>
      <c r="D38" s="4">
        <f>'ABERTURA INDICE'!H29+'DOLAR ABERTURA'!G27+'DOLAR RED'!F26+'DI ABERTURA'!G27</f>
        <v>-4026.76</v>
      </c>
      <c r="E38" s="6">
        <f>E37+D38</f>
        <v>-1846.8000000000002</v>
      </c>
      <c r="F38" s="4"/>
    </row>
    <row r="39" spans="2:10" x14ac:dyDescent="0.3">
      <c r="B39" s="24">
        <v>3</v>
      </c>
      <c r="C39" s="26">
        <v>46118</v>
      </c>
      <c r="D39" s="4">
        <f>'ABERTURA INDICE'!H30+'DOLAR ABERTURA'!G28+'DOLAR RED'!F27+'DI ABERTURA'!G28</f>
        <v>278.24</v>
      </c>
      <c r="E39" s="6">
        <f>E38+D39</f>
        <v>-1568.5600000000002</v>
      </c>
      <c r="F39" s="4"/>
    </row>
    <row r="40" spans="2:10" x14ac:dyDescent="0.3">
      <c r="B40" s="24">
        <v>4</v>
      </c>
      <c r="C40" s="26">
        <v>46119</v>
      </c>
      <c r="D40" s="4">
        <f>'ABERTURA INDICE'!H31+'DOLAR ABERTURA'!G29+'DOLAR RED'!F28+'DI ABERTURA'!G29</f>
        <v>278.24</v>
      </c>
      <c r="E40" s="6">
        <f>E39+D40</f>
        <v>-1290.3200000000002</v>
      </c>
      <c r="F40" s="4"/>
    </row>
    <row r="41" spans="2:10" x14ac:dyDescent="0.3">
      <c r="B41" s="24">
        <v>5</v>
      </c>
      <c r="C41" s="26">
        <v>46120</v>
      </c>
      <c r="D41" s="4">
        <f>'ABERTURA INDICE'!H32+'DOLAR ABERTURA'!G30+'DOLAR RED'!F29+'DI ABERTURA'!G30</f>
        <v>7909.96</v>
      </c>
      <c r="E41" s="4">
        <f>E40+D41</f>
        <v>6619.6399999999994</v>
      </c>
      <c r="F41" s="4"/>
    </row>
    <row r="42" spans="2:10" x14ac:dyDescent="0.3">
      <c r="B42" s="24">
        <v>6</v>
      </c>
      <c r="C42" s="26">
        <v>46121</v>
      </c>
      <c r="D42" s="4">
        <f>'DOLAR RED'!F30+'DI ABERTURA'!G31</f>
        <v>3699.96</v>
      </c>
      <c r="E42" s="4">
        <f>E41+D42</f>
        <v>10319.599999999999</v>
      </c>
      <c r="F42" s="4"/>
    </row>
    <row r="43" spans="2:10" x14ac:dyDescent="0.3">
      <c r="B43" s="24">
        <v>7</v>
      </c>
      <c r="C43" s="26">
        <v>46122</v>
      </c>
      <c r="D43" s="4">
        <f>'ABERTURA INDICE'!H34+'DOLAR ABERTURA'!G31+'DOLAR RED'!F31+'DI ABERTURA'!G32</f>
        <v>1073.24</v>
      </c>
      <c r="E43" s="4">
        <f>E42+D43</f>
        <v>11392.839999999998</v>
      </c>
      <c r="F43" s="4"/>
    </row>
    <row r="44" spans="2:10" x14ac:dyDescent="0.3">
      <c r="B44" s="24">
        <v>8</v>
      </c>
      <c r="C44" s="26">
        <v>46125</v>
      </c>
      <c r="D44" s="4">
        <f>'ABERTURA INDICE'!H35+'DOLAR ABERTURA'!G32+'DOLAR RED'!F32+'DI ABERTURA'!G33</f>
        <v>379.96000000000004</v>
      </c>
      <c r="E44" s="4">
        <f>E43+D44</f>
        <v>11772.8</v>
      </c>
      <c r="F44" s="4"/>
      <c r="J44" s="5"/>
    </row>
    <row r="45" spans="2:10" x14ac:dyDescent="0.3">
      <c r="B45" s="24">
        <v>9</v>
      </c>
      <c r="C45" s="26">
        <v>46126</v>
      </c>
      <c r="D45" s="4">
        <f>'ABERTURA INDICE'!H36+'DOLAR ABERTURA'!G33+'DOLAR RED'!F33+'DI ABERTURA'!G34</f>
        <v>2809.96</v>
      </c>
      <c r="E45" s="4">
        <f>E44+D45</f>
        <v>14582.759999999998</v>
      </c>
      <c r="F45" s="4"/>
    </row>
    <row r="46" spans="2:10" x14ac:dyDescent="0.3">
      <c r="B46" s="24">
        <v>10</v>
      </c>
      <c r="C46" s="26">
        <v>46127</v>
      </c>
      <c r="D46" s="4">
        <f>'DOLAR RED'!F34+'DI ABERTURA'!G35</f>
        <v>1168.24</v>
      </c>
      <c r="E46" s="4">
        <f>E45+D46</f>
        <v>15750.999999999998</v>
      </c>
      <c r="F46" s="4"/>
    </row>
    <row r="47" spans="2:10" x14ac:dyDescent="0.3">
      <c r="B47" s="24">
        <v>11</v>
      </c>
      <c r="C47" s="26">
        <v>46128</v>
      </c>
      <c r="D47" s="4">
        <f>'DOLAR RED'!F35+'DI ABERTURA'!G36</f>
        <v>1168.24</v>
      </c>
      <c r="E47" s="4">
        <f>E46+D47</f>
        <v>16919.239999999998</v>
      </c>
      <c r="F47" s="4"/>
    </row>
    <row r="48" spans="2:10" x14ac:dyDescent="0.3">
      <c r="B48" s="24">
        <v>12</v>
      </c>
      <c r="C48" s="26">
        <v>46129</v>
      </c>
      <c r="D48" s="4">
        <f>'ABERTURA INDICE'!H44+'DOLAR ABERTURA'!G34+'DOLAR RED'!F36+'DI ABERTURA'!G37</f>
        <v>443.24</v>
      </c>
      <c r="E48" s="4">
        <f>E47+D48</f>
        <v>17362.48</v>
      </c>
      <c r="F48" s="4"/>
    </row>
    <row r="49" spans="2:6" x14ac:dyDescent="0.3">
      <c r="B49" s="24">
        <v>13</v>
      </c>
      <c r="C49" s="26">
        <v>46132</v>
      </c>
      <c r="D49" s="4">
        <f>'ABERTURA INDICE'!H40+'DOLAR ABERTURA'!G35+'DOLAR RED'!F37+'DI ABERTURA'!G38</f>
        <v>1523.24</v>
      </c>
      <c r="E49" s="4">
        <f>E48+D49</f>
        <v>18885.72</v>
      </c>
      <c r="F49" s="4"/>
    </row>
    <row r="50" spans="2:6" x14ac:dyDescent="0.3">
      <c r="B50" s="24">
        <v>14</v>
      </c>
      <c r="C50" s="26">
        <v>46134</v>
      </c>
      <c r="D50" s="4">
        <f>'ABERTURA INDICE'!H41+'DOLAR ABERTURA'!G36+'DOLAR RED'!F38+'DI ABERTURA'!G39</f>
        <v>-3151.76</v>
      </c>
      <c r="E50" s="4">
        <f>E49+D50</f>
        <v>15733.960000000001</v>
      </c>
      <c r="F50" s="4"/>
    </row>
    <row r="51" spans="2:6" x14ac:dyDescent="0.3">
      <c r="B51" s="24">
        <v>15</v>
      </c>
      <c r="C51" s="26">
        <v>46135</v>
      </c>
      <c r="D51" s="4">
        <f>'ABERTURA INDICE'!H42+'DOLAR ABERTURA'!G37+'DOLAR RED'!F39+'DI ABERTURA'!G40</f>
        <v>2179.96</v>
      </c>
      <c r="E51" s="4">
        <f>E50+D51</f>
        <v>17913.920000000002</v>
      </c>
      <c r="F51" s="4"/>
    </row>
    <row r="52" spans="2:6" x14ac:dyDescent="0.3">
      <c r="B52" s="24">
        <v>16</v>
      </c>
      <c r="C52" s="26">
        <v>46136</v>
      </c>
      <c r="D52" s="4">
        <f>'DOLAR RED'!F40+'DI ABERTURA'!G41</f>
        <v>1168.24</v>
      </c>
      <c r="E52" s="4">
        <f>E51+D52</f>
        <v>19082.160000000003</v>
      </c>
      <c r="F52" s="4"/>
    </row>
    <row r="53" spans="2:6" x14ac:dyDescent="0.3">
      <c r="B53" s="24">
        <v>17</v>
      </c>
      <c r="C53" s="26">
        <v>46139</v>
      </c>
      <c r="D53" s="4">
        <f>'ABERTURA INDICE'!H44+'DOLAR ABERTURA'!G38+'DOLAR RED'!F41+'DI ABERTURA'!G42</f>
        <v>1523.24</v>
      </c>
      <c r="E53" s="4">
        <f>E52+D53</f>
        <v>20605.400000000005</v>
      </c>
      <c r="F53" s="4"/>
    </row>
    <row r="54" spans="2:6" x14ac:dyDescent="0.3">
      <c r="B54" s="24">
        <v>18</v>
      </c>
      <c r="C54" s="26">
        <v>46140</v>
      </c>
      <c r="D54" s="4">
        <f>'ABERTURA INDICE'!H45+'DOLAR ABERTURA'!G39+'DOLAR RED'!F42+'DI ABERTURA'!G43</f>
        <v>4684.96</v>
      </c>
      <c r="E54" s="4">
        <f>E53+D54</f>
        <v>25290.360000000004</v>
      </c>
      <c r="F54" s="4"/>
    </row>
    <row r="55" spans="2:6" x14ac:dyDescent="0.3">
      <c r="B55" s="24">
        <v>19</v>
      </c>
      <c r="C55" s="26">
        <v>46141</v>
      </c>
      <c r="D55" s="4">
        <f>'ABERTURA INDICE'!H46+'DOLAR ABERTURA'!G40+'DOLAR RED'!F43+'DI ABERTURA'!G44</f>
        <v>-7456.76</v>
      </c>
      <c r="E55" s="4">
        <f>E54+D55</f>
        <v>17833.600000000006</v>
      </c>
      <c r="F55" s="4"/>
    </row>
    <row r="56" spans="2:6" x14ac:dyDescent="0.3">
      <c r="B56" s="24">
        <v>20</v>
      </c>
      <c r="C56" s="26">
        <v>46142</v>
      </c>
      <c r="D56" s="4">
        <f>'DOLAR RED'!F44+'DI ABERTURA'!G45</f>
        <v>3699.96</v>
      </c>
      <c r="E56" s="4">
        <f>E55+D56</f>
        <v>21533.560000000005</v>
      </c>
      <c r="F56" s="4"/>
    </row>
    <row r="57" spans="2:6" x14ac:dyDescent="0.3">
      <c r="D57" s="4"/>
      <c r="E57" s="4"/>
      <c r="F57" s="4"/>
    </row>
    <row r="58" spans="2:6" x14ac:dyDescent="0.3">
      <c r="D58" s="4"/>
      <c r="E58" s="4"/>
      <c r="F58" s="4"/>
    </row>
    <row r="59" spans="2:6" x14ac:dyDescent="0.3">
      <c r="D59" s="4"/>
      <c r="E59" s="4"/>
      <c r="F59" s="4"/>
    </row>
    <row r="60" spans="2:6" x14ac:dyDescent="0.3">
      <c r="B60" s="20" t="s">
        <v>23</v>
      </c>
      <c r="C60" s="20"/>
      <c r="D60" s="20"/>
    </row>
    <row r="61" spans="2:6" x14ac:dyDescent="0.3">
      <c r="B61" s="20" t="s">
        <v>12</v>
      </c>
      <c r="C61" s="20"/>
      <c r="D61" s="4">
        <f>'ABERTURA INDICE'!H75</f>
        <v>8190</v>
      </c>
    </row>
    <row r="62" spans="2:6" x14ac:dyDescent="0.3">
      <c r="B62" s="20" t="s">
        <v>17</v>
      </c>
      <c r="C62" s="20"/>
      <c r="D62" s="4">
        <f>'DOLAR ABERTURA'!G66</f>
        <v>2475</v>
      </c>
    </row>
    <row r="63" spans="2:6" x14ac:dyDescent="0.3">
      <c r="B63" s="20" t="s">
        <v>10</v>
      </c>
      <c r="C63" s="20"/>
      <c r="D63" s="4">
        <f>'DOLAR RED'!F70</f>
        <v>13965</v>
      </c>
    </row>
    <row r="64" spans="2:6" x14ac:dyDescent="0.3">
      <c r="B64" s="20" t="s">
        <v>19</v>
      </c>
      <c r="C64" s="20"/>
      <c r="D64" s="4">
        <f>'DI ABERTURA'!G71</f>
        <v>9187.24</v>
      </c>
    </row>
    <row r="65" spans="1:4" ht="15.6" x14ac:dyDescent="0.3">
      <c r="D65" s="7">
        <f>SUM(D61:D64)</f>
        <v>33817.24</v>
      </c>
    </row>
    <row r="67" spans="1:4" x14ac:dyDescent="0.3">
      <c r="B67" s="20" t="s">
        <v>23</v>
      </c>
      <c r="C67" s="20"/>
      <c r="D67" s="20"/>
    </row>
    <row r="68" spans="1:4" x14ac:dyDescent="0.3">
      <c r="A68" s="2">
        <v>1</v>
      </c>
      <c r="B68" s="26">
        <v>46146</v>
      </c>
      <c r="C68" s="5">
        <f>'ABERTURA INDICE'!H51+'DOLAR ABERTURA'!G45+'DOLAR RED'!F49+'DI ABERTURA'!G50</f>
        <v>2153.2399999999998</v>
      </c>
      <c r="D68" s="32">
        <f>C68</f>
        <v>2153.2399999999998</v>
      </c>
    </row>
    <row r="69" spans="1:4" x14ac:dyDescent="0.3">
      <c r="A69" s="2">
        <v>2</v>
      </c>
      <c r="B69" s="26">
        <v>46147</v>
      </c>
      <c r="C69" s="5">
        <f>'ABERTURA INDICE'!H52+'DOLAR ABERTURA'!G46+'DOLAR RED'!F50+'DI ABERTURA'!G51</f>
        <v>1948.24</v>
      </c>
      <c r="D69" s="32">
        <f>D68+C69</f>
        <v>4101.4799999999996</v>
      </c>
    </row>
    <row r="70" spans="1:4" x14ac:dyDescent="0.3">
      <c r="A70" s="2">
        <v>3</v>
      </c>
      <c r="B70" s="26">
        <v>46148</v>
      </c>
      <c r="C70" s="5">
        <f>'DOLAR ABERTURA'!G47+'DOLAR RED'!F51+'DI ABERTURA'!G52</f>
        <v>-631.76</v>
      </c>
      <c r="D70" s="32">
        <f>D69+C70</f>
        <v>3469.7199999999993</v>
      </c>
    </row>
    <row r="71" spans="1:4" x14ac:dyDescent="0.3">
      <c r="A71" s="2">
        <v>4</v>
      </c>
      <c r="B71" s="26">
        <v>46149</v>
      </c>
      <c r="C71" s="5">
        <f>'DOLAR RED'!F52</f>
        <v>2205</v>
      </c>
      <c r="D71" s="32">
        <f>D70+C71</f>
        <v>5674.7199999999993</v>
      </c>
    </row>
    <row r="72" spans="1:4" x14ac:dyDescent="0.3">
      <c r="A72" s="2">
        <v>5</v>
      </c>
      <c r="B72" s="26">
        <v>46150</v>
      </c>
      <c r="C72" s="5">
        <f>'ABERTURA INDICE'!H55+'DOLAR ABERTURA'!G49+'DOLAR RED'!F53+'DI ABERTURA'!G54</f>
        <v>6824.96</v>
      </c>
      <c r="D72" s="32">
        <f>D71+C72</f>
        <v>12499.68</v>
      </c>
    </row>
    <row r="73" spans="1:4" x14ac:dyDescent="0.3">
      <c r="A73" s="2">
        <v>6</v>
      </c>
      <c r="B73" s="26">
        <v>46153</v>
      </c>
      <c r="C73" s="5">
        <f>'ABERTURA INDICE'!H56+'DOLAR ABERTURA'!G50+'DOLAR RED'!F54+'DI ABERTURA'!G55</f>
        <v>-1276.76</v>
      </c>
      <c r="D73" s="32">
        <f>D72+C73</f>
        <v>11222.92</v>
      </c>
    </row>
    <row r="74" spans="1:4" x14ac:dyDescent="0.3">
      <c r="A74" s="2">
        <v>7</v>
      </c>
      <c r="B74" s="26">
        <v>46154</v>
      </c>
      <c r="C74" s="5">
        <f>'ABERTURA INDICE'!H57+'DOLAR ABERTURA'!G51+'DOLAR RED'!F55+'DI ABERTURA'!G56</f>
        <v>2809.96</v>
      </c>
      <c r="D74" s="32">
        <f>D73+C74</f>
        <v>14032.880000000001</v>
      </c>
    </row>
    <row r="75" spans="1:4" x14ac:dyDescent="0.3">
      <c r="A75" s="2">
        <v>8</v>
      </c>
      <c r="B75" s="26">
        <v>46155</v>
      </c>
      <c r="C75" s="5">
        <f>'ABERTURA INDICE'!H58+'DOLAR ABERTURA'!G52+'DOLAR RED'!F56+'DI ABERTURA'!G57</f>
        <v>-7456.76</v>
      </c>
      <c r="D75" s="32">
        <f>D74+C75</f>
        <v>6576.1200000000008</v>
      </c>
    </row>
    <row r="76" spans="1:4" x14ac:dyDescent="0.3">
      <c r="A76" s="2">
        <v>9</v>
      </c>
      <c r="B76" s="26">
        <v>46156</v>
      </c>
      <c r="C76" s="5">
        <f>'DOLAR RED'!F57</f>
        <v>-2100</v>
      </c>
      <c r="D76" s="32">
        <f>D75+C76</f>
        <v>4476.1200000000008</v>
      </c>
    </row>
    <row r="77" spans="1:4" x14ac:dyDescent="0.3">
      <c r="A77" s="2">
        <v>10</v>
      </c>
      <c r="B77" s="26">
        <v>46157</v>
      </c>
      <c r="C77" s="5">
        <f>'ABERTURA INDICE'!H60+'DOLAR ABERTURA'!G54+'DOLAR RED'!F58+'DI ABERTURA'!G59</f>
        <v>3604.96</v>
      </c>
      <c r="D77" s="32">
        <f>D76+C77</f>
        <v>8081.0800000000008</v>
      </c>
    </row>
    <row r="78" spans="1:4" x14ac:dyDescent="0.3">
      <c r="A78" s="2">
        <v>11</v>
      </c>
      <c r="B78" s="26">
        <v>46160</v>
      </c>
      <c r="C78" s="5">
        <f>'ABERTURA INDICE'!H61+'DOLAR ABERTURA'!G55+'DOLAR RED'!F59+'DI ABERTURA'!G60</f>
        <v>3604.96</v>
      </c>
      <c r="D78" s="32">
        <f>D77+C78</f>
        <v>11686.04</v>
      </c>
    </row>
    <row r="79" spans="1:4" x14ac:dyDescent="0.3">
      <c r="A79" s="2">
        <v>12</v>
      </c>
      <c r="B79" s="26">
        <v>46161</v>
      </c>
      <c r="C79" s="5">
        <f>'ABERTURA INDICE'!H62+'DOLAR ABERTURA'!G56+'DOLAR RED'!F60+'DI ABERTURA'!G61</f>
        <v>2809.96</v>
      </c>
      <c r="D79" s="32">
        <f>D78+C79</f>
        <v>14496</v>
      </c>
    </row>
    <row r="80" spans="1:4" x14ac:dyDescent="0.3">
      <c r="A80" s="2">
        <v>13</v>
      </c>
      <c r="B80" s="26">
        <v>46162</v>
      </c>
      <c r="C80" s="5">
        <f>'ABERTURA INDICE'!H63+'DOLAR ABERTURA'!G57+'DOLAR RED'!F61+'DI ABERTURA'!G62</f>
        <v>6029.96</v>
      </c>
      <c r="D80" s="32">
        <f>D79+C80</f>
        <v>20525.96</v>
      </c>
    </row>
    <row r="81" spans="1:4" x14ac:dyDescent="0.3">
      <c r="A81" s="2">
        <v>14</v>
      </c>
      <c r="B81" s="26">
        <v>46163</v>
      </c>
      <c r="C81" s="5">
        <f>'ABERTURA INDICE'!H64+'DOLAR ABERTURA'!G58+'DOLAR RED'!F62+'DI ABERTURA'!G63</f>
        <v>-620.04</v>
      </c>
      <c r="D81" s="32">
        <f>D80+C81</f>
        <v>19905.919999999998</v>
      </c>
    </row>
    <row r="82" spans="1:4" x14ac:dyDescent="0.3">
      <c r="A82" s="2">
        <v>15</v>
      </c>
      <c r="B82" s="26">
        <v>46164</v>
      </c>
      <c r="C82" s="5">
        <f>'ABERTURA INDICE'!H65+'DOLAR ABERTURA'!G59+'DOLAR RED'!F63+'DI ABERTURA'!G64</f>
        <v>1523.24</v>
      </c>
      <c r="D82" s="32">
        <f>D81+C82</f>
        <v>21429.16</v>
      </c>
    </row>
    <row r="83" spans="1:4" x14ac:dyDescent="0.3">
      <c r="A83" s="2">
        <v>16</v>
      </c>
      <c r="B83" s="26">
        <v>46167</v>
      </c>
      <c r="C83" s="5">
        <f>'ABERTURA INDICE'!H66+'DOLAR ABERTURA'!G60+'DOLAR RED'!F64+'DI ABERTURA'!G65</f>
        <v>7909.96</v>
      </c>
      <c r="D83" s="32">
        <f>D82+C83</f>
        <v>29339.119999999999</v>
      </c>
    </row>
    <row r="84" spans="1:4" x14ac:dyDescent="0.3">
      <c r="A84" s="2">
        <v>17</v>
      </c>
      <c r="B84" s="26">
        <v>46168</v>
      </c>
      <c r="C84" s="5">
        <f>'DOLAR ABERTURA'!G61+'DOLAR RED'!F65+'DI ABERTURA'!G66</f>
        <v>-2405.04</v>
      </c>
      <c r="D84" s="32">
        <f>D83+C84</f>
        <v>26934.079999999998</v>
      </c>
    </row>
    <row r="85" spans="1:4" x14ac:dyDescent="0.3">
      <c r="A85" s="2">
        <v>18</v>
      </c>
      <c r="B85" s="26">
        <v>46169</v>
      </c>
      <c r="C85" s="5">
        <f>'ABERTURA INDICE'!H67+'DOLAR ABERTURA'!G62+'DOLAR RED'!F66+'DI ABERTURA'!G67</f>
        <v>4054.96</v>
      </c>
      <c r="D85" s="32">
        <f>D84+C85</f>
        <v>30989.039999999997</v>
      </c>
    </row>
    <row r="86" spans="1:4" x14ac:dyDescent="0.3">
      <c r="A86" s="2">
        <v>19</v>
      </c>
      <c r="B86" s="26">
        <v>46170</v>
      </c>
      <c r="C86" s="5">
        <f>'ABERTURA INDICE'!H68+'DOLAR ABERTURA'!G63+'DOLAR RED'!F67+'DI ABERTURA'!G68</f>
        <v>-620.04</v>
      </c>
      <c r="D86" s="32">
        <f>D85+C86</f>
        <v>30368.999999999996</v>
      </c>
    </row>
    <row r="87" spans="1:4" x14ac:dyDescent="0.3">
      <c r="A87" s="2">
        <v>20</v>
      </c>
      <c r="B87" s="26">
        <v>46171</v>
      </c>
      <c r="C87" s="5">
        <f>'ABERTURA INDICE'!H69+'DOLAR ABERTURA'!G64+'DOLAR RED'!F68+'DI ABERTURA'!G69</f>
        <v>-2151.7600000000002</v>
      </c>
      <c r="D87" s="32">
        <f>D86+C87</f>
        <v>28217.239999999998</v>
      </c>
    </row>
    <row r="88" spans="1:4" ht="15.6" x14ac:dyDescent="0.3">
      <c r="C88" s="31">
        <f>SUM(C68:C87)</f>
        <v>28217.239999999998</v>
      </c>
    </row>
  </sheetData>
  <mergeCells count="24">
    <mergeCell ref="B60:D60"/>
    <mergeCell ref="B61:C61"/>
    <mergeCell ref="B62:C62"/>
    <mergeCell ref="B63:C63"/>
    <mergeCell ref="B64:C64"/>
    <mergeCell ref="B67:D67"/>
    <mergeCell ref="K4:M4"/>
    <mergeCell ref="K5:L5"/>
    <mergeCell ref="K6:L6"/>
    <mergeCell ref="K7:L7"/>
    <mergeCell ref="K8:L8"/>
    <mergeCell ref="K11:M11"/>
    <mergeCell ref="B30:D30"/>
    <mergeCell ref="B31:C31"/>
    <mergeCell ref="B32:C32"/>
    <mergeCell ref="B33:C33"/>
    <mergeCell ref="B34:C34"/>
    <mergeCell ref="B36:E36"/>
    <mergeCell ref="B8:D8"/>
    <mergeCell ref="B2:C2"/>
    <mergeCell ref="B3:C3"/>
    <mergeCell ref="B4:C4"/>
    <mergeCell ref="B5:C5"/>
    <mergeCell ref="B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Planilha4</vt:lpstr>
      <vt:lpstr>ABERTURA INDICE</vt:lpstr>
      <vt:lpstr>DOLAR ABERTURA</vt:lpstr>
      <vt:lpstr>DOLAR RED</vt:lpstr>
      <vt:lpstr>DI ABERTURA</vt:lpstr>
      <vt:lpstr>RELATORO PERFORMACE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Pereira de Aquino Filho</dc:creator>
  <cp:lastModifiedBy>Francisco Pereira de Aquino Filho</cp:lastModifiedBy>
  <dcterms:created xsi:type="dcterms:W3CDTF">2026-05-29T18:34:29Z</dcterms:created>
  <dcterms:modified xsi:type="dcterms:W3CDTF">2026-06-05T21:09:03Z</dcterms:modified>
</cp:coreProperties>
</file>