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anr\Downloads\"/>
    </mc:Choice>
  </mc:AlternateContent>
  <xr:revisionPtr revIDLastSave="0" documentId="8_{8A4F91CC-0FF0-43A3-97D3-5C9C70DC677B}" xr6:coauthVersionLast="47" xr6:coauthVersionMax="47" xr10:uidLastSave="{00000000-0000-0000-0000-000000000000}"/>
  <bookViews>
    <workbookView xWindow="28680" yWindow="-120" windowWidth="38640" windowHeight="15720" firstSheet="1" activeTab="1" xr2:uid="{B1C3B051-BED5-4DAB-B89B-5DC685DA5B01}"/>
  </bookViews>
  <sheets>
    <sheet name="Planilha4" sheetId="4" r:id="rId1"/>
    <sheet name="Hedge Indice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2" l="1"/>
  <c r="L3" i="12"/>
  <c r="G20" i="12" s="1"/>
  <c r="L4" i="12"/>
  <c r="G23" i="12" s="1"/>
  <c r="L2" i="12"/>
  <c r="G30" i="12" s="1"/>
  <c r="H40" i="4"/>
  <c r="H39" i="4"/>
  <c r="H38" i="4"/>
  <c r="H37" i="4"/>
  <c r="H36" i="4"/>
  <c r="H35" i="4"/>
  <c r="H33" i="4"/>
  <c r="L3" i="4" s="1"/>
  <c r="H32" i="4"/>
  <c r="K3" i="4" s="1"/>
  <c r="H31" i="4"/>
  <c r="H34" i="4"/>
  <c r="H27" i="4"/>
  <c r="H26" i="4"/>
  <c r="H25" i="4"/>
  <c r="H24" i="4"/>
  <c r="H23" i="4"/>
  <c r="H22" i="4"/>
  <c r="H21" i="4"/>
  <c r="H20" i="4"/>
  <c r="H19" i="4"/>
  <c r="H18" i="4"/>
  <c r="H13" i="4"/>
  <c r="G75" i="12" l="1"/>
  <c r="G65" i="12"/>
  <c r="G76" i="12"/>
  <c r="G66" i="12"/>
  <c r="G79" i="12" s="1"/>
  <c r="G68" i="12"/>
  <c r="G70" i="12"/>
  <c r="G67" i="12"/>
  <c r="G72" i="12"/>
  <c r="G69" i="12"/>
  <c r="G73" i="12"/>
  <c r="G71" i="12"/>
  <c r="G74" i="12"/>
  <c r="G59" i="12"/>
  <c r="G50" i="12"/>
  <c r="G48" i="12"/>
  <c r="G58" i="12"/>
  <c r="G51" i="12"/>
  <c r="G46" i="12"/>
  <c r="G52" i="12"/>
  <c r="G54" i="12"/>
  <c r="G53" i="12"/>
  <c r="G49" i="12"/>
  <c r="G56" i="12"/>
  <c r="G55" i="12"/>
  <c r="G47" i="12"/>
  <c r="G57" i="12"/>
  <c r="G39" i="12"/>
  <c r="G40" i="12"/>
  <c r="G36" i="12"/>
  <c r="G35" i="12"/>
  <c r="G37" i="12"/>
  <c r="G41" i="12"/>
  <c r="G38" i="12"/>
  <c r="G42" i="12"/>
  <c r="G24" i="12"/>
  <c r="G15" i="12"/>
  <c r="G25" i="12"/>
  <c r="G28" i="12"/>
  <c r="G18" i="12"/>
  <c r="G19" i="12"/>
  <c r="G21" i="12"/>
  <c r="G11" i="12"/>
  <c r="G22" i="12"/>
  <c r="G12" i="12"/>
  <c r="G13" i="12"/>
  <c r="G26" i="12"/>
  <c r="G17" i="12"/>
  <c r="G14" i="12"/>
  <c r="G27" i="12"/>
  <c r="G16" i="12"/>
  <c r="G29" i="12"/>
  <c r="P3" i="4"/>
  <c r="S3" i="4"/>
  <c r="R3" i="4"/>
  <c r="Q3" i="4"/>
  <c r="O3" i="4"/>
  <c r="H41" i="4"/>
  <c r="J3" i="4"/>
  <c r="M3" i="4"/>
  <c r="H28" i="4"/>
  <c r="N3" i="4"/>
  <c r="G61" i="12" l="1"/>
  <c r="G43" i="12"/>
  <c r="G32" i="12"/>
  <c r="H45" i="4"/>
  <c r="U3" i="4"/>
</calcChain>
</file>

<file path=xl/sharedStrings.xml><?xml version="1.0" encoding="utf-8"?>
<sst xmlns="http://schemas.openxmlformats.org/spreadsheetml/2006/main" count="365" uniqueCount="20">
  <si>
    <t>COMPRA</t>
  </si>
  <si>
    <t>VENDA</t>
  </si>
  <si>
    <t>STOP</t>
  </si>
  <si>
    <t>OK</t>
  </si>
  <si>
    <t>NÃO</t>
  </si>
  <si>
    <t>DOLAR ABERTURA</t>
  </si>
  <si>
    <t>CONTRATOS</t>
  </si>
  <si>
    <t>PARCIAL 1</t>
  </si>
  <si>
    <t>INDICE ABERTURA</t>
  </si>
  <si>
    <t>PARCIAL 2</t>
  </si>
  <si>
    <t>RED DOLAR</t>
  </si>
  <si>
    <t>ALVO FINAL</t>
  </si>
  <si>
    <t>16//03/2026</t>
  </si>
  <si>
    <t>COMPRRA</t>
  </si>
  <si>
    <t>stop</t>
  </si>
  <si>
    <t>take</t>
  </si>
  <si>
    <t>rede indice</t>
  </si>
  <si>
    <t>a favor da abertura</t>
  </si>
  <si>
    <t>breakeven</t>
  </si>
  <si>
    <t>10 pontos a favor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</si>
</sst>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164" fontId="4" fillId="0" borderId="0" xfId="0" applyNumberFormat="1" applyFont="1" applyAlignment="1">
      <alignment horizontal="center"/>
    </xf>
    <xf numFmtId="14" fontId="3" fillId="0" borderId="0" xfId="0" applyNumberFormat="1" applyFont="1"/>
    <xf numFmtId="164" fontId="6" fillId="0" borderId="0" xfId="0" applyNumberFormat="1" applyFont="1" applyAlignment="1">
      <alignment horizontal="center"/>
    </xf>
    <xf numFmtId="164" fontId="7" fillId="0" borderId="0" xfId="0" applyNumberFormat="1" applyFont="1"/>
    <xf numFmtId="164" fontId="7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330D-AD98-4BD3-8AE7-DB95404F935E}">
  <dimension ref="A1:U48"/>
  <sheetViews>
    <sheetView workbookViewId="0">
      <selection activeCell="J2" sqref="J2:S2"/>
    </sheetView>
  </sheetViews>
  <sheetFormatPr defaultRowHeight="14.4" x14ac:dyDescent="0.3"/>
  <cols>
    <col min="1" max="1" width="9.109375" bestFit="1" customWidth="1"/>
    <col min="2" max="2" width="8.109375" bestFit="1" customWidth="1"/>
    <col min="3" max="3" width="6.6640625" bestFit="1" customWidth="1"/>
    <col min="4" max="4" width="4.33203125" bestFit="1" customWidth="1"/>
    <col min="5" max="6" width="7.44140625" bestFit="1" customWidth="1"/>
    <col min="7" max="7" width="8.5546875" bestFit="1" customWidth="1"/>
    <col min="8" max="8" width="9.21875" bestFit="1" customWidth="1"/>
    <col min="9" max="9" width="3.6640625" customWidth="1"/>
    <col min="10" max="10" width="8.33203125" bestFit="1" customWidth="1"/>
    <col min="11" max="11" width="8.88671875" bestFit="1" customWidth="1"/>
    <col min="12" max="14" width="8.33203125" bestFit="1" customWidth="1"/>
    <col min="15" max="17" width="8.88671875" bestFit="1" customWidth="1"/>
    <col min="18" max="19" width="8.33203125" bestFit="1" customWidth="1"/>
    <col min="21" max="21" width="11.5546875" bestFit="1" customWidth="1"/>
  </cols>
  <sheetData>
    <row r="1" spans="1:21" x14ac:dyDescent="0.3">
      <c r="A1" s="5" t="s">
        <v>6</v>
      </c>
      <c r="B1" s="5">
        <v>14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x14ac:dyDescent="0.3">
      <c r="A2" s="22" t="s">
        <v>8</v>
      </c>
      <c r="B2" s="22"/>
      <c r="C2" s="22"/>
      <c r="D2" s="5" t="s">
        <v>2</v>
      </c>
      <c r="E2" s="5" t="s">
        <v>7</v>
      </c>
      <c r="F2" s="5" t="s">
        <v>9</v>
      </c>
      <c r="G2" s="5" t="s">
        <v>11</v>
      </c>
      <c r="H2" s="5"/>
      <c r="I2" s="5"/>
      <c r="J2" s="7">
        <v>46162</v>
      </c>
      <c r="K2" s="7">
        <v>46163</v>
      </c>
      <c r="L2" s="7">
        <v>46164</v>
      </c>
      <c r="M2" s="7">
        <v>46167</v>
      </c>
      <c r="N2" s="7">
        <v>46169</v>
      </c>
      <c r="O2" s="7">
        <v>46170</v>
      </c>
      <c r="P2" s="7">
        <v>46171</v>
      </c>
      <c r="Q2" s="7">
        <v>46174</v>
      </c>
      <c r="R2" s="7">
        <v>46175</v>
      </c>
      <c r="S2" s="7">
        <v>46176</v>
      </c>
      <c r="T2" s="6"/>
      <c r="U2" s="6"/>
    </row>
    <row r="3" spans="1:21" x14ac:dyDescent="0.3">
      <c r="A3" s="5">
        <v>1</v>
      </c>
      <c r="B3" s="8">
        <v>46162</v>
      </c>
      <c r="C3" s="5" t="s">
        <v>0</v>
      </c>
      <c r="D3" s="5" t="s">
        <v>4</v>
      </c>
      <c r="E3" s="5" t="s">
        <v>3</v>
      </c>
      <c r="F3" s="5" t="s">
        <v>3</v>
      </c>
      <c r="G3" s="5" t="s">
        <v>3</v>
      </c>
      <c r="H3" s="9">
        <v>2160</v>
      </c>
      <c r="I3" s="5"/>
      <c r="J3" s="10">
        <f>H3+H18+H31</f>
        <v>2205</v>
      </c>
      <c r="K3" s="10">
        <f>H4+H19+H32</f>
        <v>-1635</v>
      </c>
      <c r="L3" s="10">
        <f>H5+H20+H33</f>
        <v>2505</v>
      </c>
      <c r="M3" s="10">
        <f>H6+H21+H34</f>
        <v>2670</v>
      </c>
      <c r="N3" s="10">
        <f>H7+H22+H35</f>
        <v>2505</v>
      </c>
      <c r="O3" s="10">
        <f>H8+H23+H36</f>
        <v>-1635</v>
      </c>
      <c r="P3" s="10">
        <f>H9+H24+H37</f>
        <v>-1200</v>
      </c>
      <c r="Q3" s="10">
        <f>H10+H25+H38</f>
        <v>-1200</v>
      </c>
      <c r="R3" s="10">
        <f>H11+H26+H39</f>
        <v>2505</v>
      </c>
      <c r="S3" s="10">
        <f>H12+H27+H40</f>
        <v>3915</v>
      </c>
      <c r="T3" s="6"/>
      <c r="U3" s="14">
        <f>SUM(J3:T3)</f>
        <v>10635</v>
      </c>
    </row>
    <row r="4" spans="1:21" x14ac:dyDescent="0.3">
      <c r="A4" s="5">
        <v>2</v>
      </c>
      <c r="B4" s="8">
        <v>46163</v>
      </c>
      <c r="C4" s="5" t="s">
        <v>1</v>
      </c>
      <c r="D4" s="5" t="s">
        <v>3</v>
      </c>
      <c r="E4" s="5" t="s">
        <v>4</v>
      </c>
      <c r="F4" s="5" t="s">
        <v>4</v>
      </c>
      <c r="G4" s="5" t="s">
        <v>4</v>
      </c>
      <c r="H4" s="9">
        <v>-1680</v>
      </c>
      <c r="I4" s="5"/>
      <c r="J4" s="6"/>
      <c r="K4" s="10"/>
      <c r="L4" s="6"/>
      <c r="M4" s="6"/>
      <c r="N4" s="6"/>
      <c r="O4" s="6"/>
      <c r="P4" s="6"/>
      <c r="Q4" s="6"/>
      <c r="R4" s="6"/>
      <c r="S4" s="6"/>
      <c r="T4" s="6"/>
      <c r="U4" s="10"/>
    </row>
    <row r="5" spans="1:21" x14ac:dyDescent="0.3">
      <c r="A5" s="5">
        <v>3</v>
      </c>
      <c r="B5" s="8">
        <v>46164</v>
      </c>
      <c r="C5" s="5" t="s">
        <v>0</v>
      </c>
      <c r="D5" s="5" t="s">
        <v>4</v>
      </c>
      <c r="E5" s="5" t="s">
        <v>3</v>
      </c>
      <c r="F5" s="5" t="s">
        <v>4</v>
      </c>
      <c r="G5" s="5" t="s">
        <v>4</v>
      </c>
      <c r="H5" s="9">
        <v>210</v>
      </c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x14ac:dyDescent="0.3">
      <c r="A6" s="5">
        <v>4</v>
      </c>
      <c r="B6" s="8">
        <v>46167</v>
      </c>
      <c r="C6" s="5" t="s">
        <v>0</v>
      </c>
      <c r="D6" s="5" t="s">
        <v>4</v>
      </c>
      <c r="E6" s="5" t="s">
        <v>3</v>
      </c>
      <c r="F6" s="5" t="s">
        <v>3</v>
      </c>
      <c r="G6" s="5" t="s">
        <v>4</v>
      </c>
      <c r="H6" s="9">
        <v>810</v>
      </c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3">
      <c r="A7" s="5">
        <v>5</v>
      </c>
      <c r="B7" s="8">
        <v>46169</v>
      </c>
      <c r="C7" s="5" t="s">
        <v>1</v>
      </c>
      <c r="D7" s="5" t="s">
        <v>4</v>
      </c>
      <c r="E7" s="5" t="s">
        <v>3</v>
      </c>
      <c r="F7" s="5" t="s">
        <v>4</v>
      </c>
      <c r="G7" s="5" t="s">
        <v>4</v>
      </c>
      <c r="H7" s="9">
        <v>210</v>
      </c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x14ac:dyDescent="0.3">
      <c r="A8" s="5">
        <v>6</v>
      </c>
      <c r="B8" s="8">
        <v>46170</v>
      </c>
      <c r="C8" s="5" t="s">
        <v>1</v>
      </c>
      <c r="D8" s="5" t="s">
        <v>3</v>
      </c>
      <c r="E8" s="5" t="s">
        <v>4</v>
      </c>
      <c r="F8" s="5" t="s">
        <v>4</v>
      </c>
      <c r="G8" s="5" t="s">
        <v>4</v>
      </c>
      <c r="H8" s="9">
        <v>-1680</v>
      </c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x14ac:dyDescent="0.3">
      <c r="A9" s="5">
        <v>7</v>
      </c>
      <c r="B9" s="8">
        <v>46171</v>
      </c>
      <c r="C9" s="5" t="s">
        <v>1</v>
      </c>
      <c r="D9" s="5" t="s">
        <v>4</v>
      </c>
      <c r="E9" s="5" t="s">
        <v>3</v>
      </c>
      <c r="F9" s="5" t="s">
        <v>3</v>
      </c>
      <c r="G9" s="5" t="s">
        <v>4</v>
      </c>
      <c r="H9" s="9">
        <v>810</v>
      </c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x14ac:dyDescent="0.3">
      <c r="A10" s="5">
        <v>8</v>
      </c>
      <c r="B10" s="8">
        <v>46174</v>
      </c>
      <c r="C10" s="5" t="s">
        <v>0</v>
      </c>
      <c r="D10" s="5" t="s">
        <v>4</v>
      </c>
      <c r="E10" s="5" t="s">
        <v>3</v>
      </c>
      <c r="F10" s="5" t="s">
        <v>3</v>
      </c>
      <c r="G10" s="5" t="s">
        <v>4</v>
      </c>
      <c r="H10" s="9">
        <v>810</v>
      </c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3">
      <c r="A11" s="5">
        <v>9</v>
      </c>
      <c r="B11" s="8">
        <v>46175</v>
      </c>
      <c r="C11" s="5" t="s">
        <v>0</v>
      </c>
      <c r="D11" s="5" t="s">
        <v>4</v>
      </c>
      <c r="E11" s="5" t="s">
        <v>3</v>
      </c>
      <c r="F11" s="5" t="s">
        <v>4</v>
      </c>
      <c r="G11" s="5" t="s">
        <v>4</v>
      </c>
      <c r="H11" s="9">
        <v>210</v>
      </c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3">
      <c r="A12" s="5">
        <v>10</v>
      </c>
      <c r="B12" s="8">
        <v>46176</v>
      </c>
      <c r="C12" s="5" t="s">
        <v>1</v>
      </c>
      <c r="D12" s="5" t="s">
        <v>4</v>
      </c>
      <c r="E12" s="5" t="s">
        <v>3</v>
      </c>
      <c r="F12" s="5" t="s">
        <v>3</v>
      </c>
      <c r="G12" s="5" t="s">
        <v>3</v>
      </c>
      <c r="H12" s="9">
        <v>2160</v>
      </c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x14ac:dyDescent="0.3">
      <c r="A13" s="5"/>
      <c r="B13" s="5"/>
      <c r="C13" s="5"/>
      <c r="D13" s="5"/>
      <c r="E13" s="5"/>
      <c r="F13" s="5"/>
      <c r="G13" s="5"/>
      <c r="H13" s="11">
        <f>SUM(H3:H12)</f>
        <v>4020</v>
      </c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3">
      <c r="A14" s="5"/>
      <c r="B14" s="5"/>
      <c r="C14" s="5"/>
      <c r="D14" s="5"/>
      <c r="E14" s="5"/>
      <c r="F14" s="5"/>
      <c r="G14" s="5"/>
      <c r="H14" s="5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3">
      <c r="A15" s="5"/>
      <c r="B15" s="5"/>
      <c r="C15" s="5"/>
      <c r="D15" s="5"/>
      <c r="E15" s="5"/>
      <c r="F15" s="5"/>
      <c r="G15" s="5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3">
      <c r="A16" s="5" t="s">
        <v>6</v>
      </c>
      <c r="B16" s="5">
        <v>18</v>
      </c>
      <c r="C16" s="5"/>
      <c r="D16" s="5" t="s">
        <v>2</v>
      </c>
      <c r="E16" s="5" t="s">
        <v>7</v>
      </c>
      <c r="F16" s="5"/>
      <c r="G16" s="5" t="s">
        <v>11</v>
      </c>
      <c r="H16" s="5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3">
      <c r="A17" s="22" t="s">
        <v>5</v>
      </c>
      <c r="B17" s="22"/>
      <c r="C17" s="22"/>
      <c r="D17" s="5"/>
      <c r="E17" s="5"/>
      <c r="F17" s="5"/>
      <c r="G17" s="5"/>
      <c r="H17" s="9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3">
      <c r="A18" s="5">
        <v>1</v>
      </c>
      <c r="B18" s="8">
        <v>46162</v>
      </c>
      <c r="C18" s="5" t="s">
        <v>1</v>
      </c>
      <c r="D18" s="5" t="s">
        <v>3</v>
      </c>
      <c r="E18" s="5"/>
      <c r="F18" s="5"/>
      <c r="G18" s="5" t="s">
        <v>4</v>
      </c>
      <c r="H18" s="9">
        <f>-B16*12*10</f>
        <v>-2160</v>
      </c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x14ac:dyDescent="0.3">
      <c r="A19" s="5">
        <v>2</v>
      </c>
      <c r="B19" s="8">
        <v>46163</v>
      </c>
      <c r="C19" s="5" t="s">
        <v>0</v>
      </c>
      <c r="D19" s="5" t="s">
        <v>3</v>
      </c>
      <c r="E19" s="5"/>
      <c r="F19" s="5"/>
      <c r="G19" s="5" t="s">
        <v>4</v>
      </c>
      <c r="H19" s="9">
        <f>-B16*12*10</f>
        <v>-2160</v>
      </c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3">
      <c r="A20" s="5">
        <v>3</v>
      </c>
      <c r="B20" s="8">
        <v>46164</v>
      </c>
      <c r="C20" s="5" t="s">
        <v>1</v>
      </c>
      <c r="D20" s="5" t="s">
        <v>4</v>
      </c>
      <c r="E20" s="5" t="s">
        <v>3</v>
      </c>
      <c r="F20" s="5"/>
      <c r="G20" s="5"/>
      <c r="H20" s="9">
        <f>B16*10*0.5</f>
        <v>90</v>
      </c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3">
      <c r="A21" s="5">
        <v>4</v>
      </c>
      <c r="B21" s="8">
        <v>46167</v>
      </c>
      <c r="C21" s="5" t="s">
        <v>1</v>
      </c>
      <c r="D21" s="5" t="s">
        <v>4</v>
      </c>
      <c r="E21" s="5" t="s">
        <v>3</v>
      </c>
      <c r="F21" s="5"/>
      <c r="G21" s="5" t="s">
        <v>3</v>
      </c>
      <c r="H21" s="9">
        <f>B16*22*10</f>
        <v>3960</v>
      </c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3">
      <c r="A22" s="5">
        <v>5</v>
      </c>
      <c r="B22" s="8">
        <v>46169</v>
      </c>
      <c r="C22" s="5" t="s">
        <v>0</v>
      </c>
      <c r="D22" s="5" t="s">
        <v>4</v>
      </c>
      <c r="E22" s="5" t="s">
        <v>3</v>
      </c>
      <c r="F22" s="5"/>
      <c r="G22" s="5"/>
      <c r="H22" s="9">
        <f>B16*10*0.5</f>
        <v>90</v>
      </c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3">
      <c r="A23" s="5">
        <v>6</v>
      </c>
      <c r="B23" s="8">
        <v>46170</v>
      </c>
      <c r="C23" s="5" t="s">
        <v>0</v>
      </c>
      <c r="D23" s="5" t="s">
        <v>3</v>
      </c>
      <c r="E23" s="5"/>
      <c r="F23" s="5"/>
      <c r="G23" s="5" t="s">
        <v>4</v>
      </c>
      <c r="H23" s="9">
        <f>-B16*10*12</f>
        <v>-2160</v>
      </c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3">
      <c r="A24" s="5">
        <v>7</v>
      </c>
      <c r="B24" s="8">
        <v>46171</v>
      </c>
      <c r="C24" s="5" t="s">
        <v>0</v>
      </c>
      <c r="D24" s="5" t="s">
        <v>4</v>
      </c>
      <c r="E24" s="5" t="s">
        <v>3</v>
      </c>
      <c r="F24" s="5"/>
      <c r="G24" s="5" t="s">
        <v>4</v>
      </c>
      <c r="H24" s="9">
        <f>B16*10*0.5</f>
        <v>90</v>
      </c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3">
      <c r="A25" s="5">
        <v>8</v>
      </c>
      <c r="B25" s="8">
        <v>46174</v>
      </c>
      <c r="C25" s="5" t="s">
        <v>1</v>
      </c>
      <c r="D25" s="5" t="s">
        <v>4</v>
      </c>
      <c r="E25" s="5" t="s">
        <v>3</v>
      </c>
      <c r="F25" s="5"/>
      <c r="G25" s="5" t="s">
        <v>4</v>
      </c>
      <c r="H25" s="9">
        <f>B16*10*0.5</f>
        <v>90</v>
      </c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3">
      <c r="A26" s="5">
        <v>9</v>
      </c>
      <c r="B26" s="8">
        <v>46175</v>
      </c>
      <c r="C26" s="5" t="s">
        <v>1</v>
      </c>
      <c r="D26" s="5" t="s">
        <v>4</v>
      </c>
      <c r="E26" s="5" t="s">
        <v>3</v>
      </c>
      <c r="F26" s="5"/>
      <c r="G26" s="5" t="s">
        <v>4</v>
      </c>
      <c r="H26" s="9">
        <f>B16*10*0.5</f>
        <v>90</v>
      </c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3">
      <c r="A27" s="5">
        <v>10</v>
      </c>
      <c r="B27" s="8">
        <v>46176</v>
      </c>
      <c r="C27" s="5" t="s">
        <v>0</v>
      </c>
      <c r="D27" s="5" t="s">
        <v>4</v>
      </c>
      <c r="E27" s="5" t="s">
        <v>3</v>
      </c>
      <c r="F27" s="5"/>
      <c r="G27" s="5" t="s">
        <v>3</v>
      </c>
      <c r="H27" s="9">
        <f>B16*10*22</f>
        <v>3960</v>
      </c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3">
      <c r="A28" s="5"/>
      <c r="B28" s="5"/>
      <c r="C28" s="5"/>
      <c r="D28" s="5"/>
      <c r="E28" s="5"/>
      <c r="F28" s="5"/>
      <c r="G28" s="5"/>
      <c r="H28" s="11">
        <f>SUM(H18:H27)</f>
        <v>1890</v>
      </c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3">
      <c r="A29" s="5" t="s">
        <v>6</v>
      </c>
      <c r="B29" s="5">
        <v>21</v>
      </c>
      <c r="C29" s="5"/>
      <c r="D29" s="5"/>
      <c r="E29" s="5"/>
      <c r="F29" s="5"/>
      <c r="G29" s="5"/>
      <c r="H29" s="9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3">
      <c r="A30" s="23" t="s">
        <v>10</v>
      </c>
      <c r="B30" s="23"/>
      <c r="C30" s="23"/>
      <c r="D30" s="5"/>
      <c r="E30" s="5"/>
      <c r="F30" s="5"/>
      <c r="G30" s="5"/>
      <c r="H30" s="9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3">
      <c r="A31" s="5">
        <v>1</v>
      </c>
      <c r="B31" s="12">
        <v>46162</v>
      </c>
      <c r="C31" s="6" t="s">
        <v>0</v>
      </c>
      <c r="D31" s="6" t="s">
        <v>4</v>
      </c>
      <c r="E31" s="6"/>
      <c r="F31" s="6"/>
      <c r="G31" s="6" t="s">
        <v>3</v>
      </c>
      <c r="H31" s="9">
        <f>B29*10.5*10</f>
        <v>2205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x14ac:dyDescent="0.3">
      <c r="A32" s="5">
        <v>2</v>
      </c>
      <c r="B32" s="12">
        <v>46163</v>
      </c>
      <c r="C32" s="6" t="s">
        <v>0</v>
      </c>
      <c r="D32" s="6" t="s">
        <v>4</v>
      </c>
      <c r="E32" s="6"/>
      <c r="F32" s="6"/>
      <c r="G32" s="6" t="s">
        <v>3</v>
      </c>
      <c r="H32" s="9">
        <f>B29*10.5*10</f>
        <v>2205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x14ac:dyDescent="0.3">
      <c r="A33" s="5">
        <v>3</v>
      </c>
      <c r="B33" s="12">
        <v>46164</v>
      </c>
      <c r="C33" s="6" t="s">
        <v>0</v>
      </c>
      <c r="D33" s="6" t="s">
        <v>4</v>
      </c>
      <c r="E33" s="6"/>
      <c r="F33" s="6"/>
      <c r="G33" s="6" t="s">
        <v>3</v>
      </c>
      <c r="H33" s="9">
        <f>B29*10.5*10</f>
        <v>2205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x14ac:dyDescent="0.3">
      <c r="A34" s="5">
        <v>4</v>
      </c>
      <c r="B34" s="12">
        <v>46167</v>
      </c>
      <c r="C34" s="6" t="s">
        <v>0</v>
      </c>
      <c r="D34" s="6" t="s">
        <v>3</v>
      </c>
      <c r="E34" s="6"/>
      <c r="F34" s="6"/>
      <c r="G34" s="6" t="s">
        <v>4</v>
      </c>
      <c r="H34" s="9">
        <f>-B29*10*10</f>
        <v>-2100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spans="1:21" x14ac:dyDescent="0.3">
      <c r="A35" s="5">
        <v>5</v>
      </c>
      <c r="B35" s="12">
        <v>46169</v>
      </c>
      <c r="C35" s="6" t="s">
        <v>1</v>
      </c>
      <c r="D35" s="6" t="s">
        <v>4</v>
      </c>
      <c r="E35" s="6"/>
      <c r="F35" s="6"/>
      <c r="G35" s="6" t="s">
        <v>3</v>
      </c>
      <c r="H35" s="9">
        <f>B29*10.5*10</f>
        <v>2205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spans="1:21" x14ac:dyDescent="0.3">
      <c r="A36" s="5">
        <v>6</v>
      </c>
      <c r="B36" s="12">
        <v>46170</v>
      </c>
      <c r="C36" s="6" t="s">
        <v>1</v>
      </c>
      <c r="D36" s="6" t="s">
        <v>4</v>
      </c>
      <c r="E36" s="6"/>
      <c r="F36" s="6"/>
      <c r="G36" s="6" t="s">
        <v>3</v>
      </c>
      <c r="H36" s="9">
        <f>B29*10.5*10</f>
        <v>2205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x14ac:dyDescent="0.3">
      <c r="A37" s="5">
        <v>7</v>
      </c>
      <c r="B37" s="12">
        <v>46171</v>
      </c>
      <c r="C37" s="6" t="s">
        <v>1</v>
      </c>
      <c r="D37" s="6" t="s">
        <v>3</v>
      </c>
      <c r="E37" s="6"/>
      <c r="F37" s="6"/>
      <c r="G37" s="6" t="s">
        <v>4</v>
      </c>
      <c r="H37" s="9">
        <f>-B29*10*10</f>
        <v>-2100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x14ac:dyDescent="0.3">
      <c r="A38" s="5">
        <v>8</v>
      </c>
      <c r="B38" s="12">
        <v>46174</v>
      </c>
      <c r="C38" s="6" t="s">
        <v>0</v>
      </c>
      <c r="D38" s="6" t="s">
        <v>3</v>
      </c>
      <c r="E38" s="6"/>
      <c r="F38" s="6"/>
      <c r="G38" s="6" t="s">
        <v>4</v>
      </c>
      <c r="H38" s="9">
        <f>-B29*10*10</f>
        <v>-2100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x14ac:dyDescent="0.3">
      <c r="A39" s="5">
        <v>9</v>
      </c>
      <c r="B39" s="12">
        <v>46175</v>
      </c>
      <c r="C39" s="6" t="s">
        <v>0</v>
      </c>
      <c r="D39" s="6" t="s">
        <v>4</v>
      </c>
      <c r="E39" s="6"/>
      <c r="F39" s="6"/>
      <c r="G39" s="6" t="s">
        <v>3</v>
      </c>
      <c r="H39" s="9">
        <f>B29*10.5*10</f>
        <v>2205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x14ac:dyDescent="0.3">
      <c r="A40" s="5">
        <v>10</v>
      </c>
      <c r="B40" s="12">
        <v>46176</v>
      </c>
      <c r="C40" s="6" t="s">
        <v>1</v>
      </c>
      <c r="D40" s="6" t="s">
        <v>3</v>
      </c>
      <c r="E40" s="6"/>
      <c r="F40" s="6"/>
      <c r="G40" s="6" t="s">
        <v>4</v>
      </c>
      <c r="H40" s="9">
        <f>-B29*10.5*10</f>
        <v>-2205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x14ac:dyDescent="0.3">
      <c r="A41" s="6"/>
      <c r="B41" s="6"/>
      <c r="C41" s="6"/>
      <c r="D41" s="6"/>
      <c r="E41" s="6"/>
      <c r="F41" s="6"/>
      <c r="G41" s="6"/>
      <c r="H41" s="11">
        <f>SUM(H31:H40)</f>
        <v>4725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x14ac:dyDescent="0.3">
      <c r="A42" s="6"/>
      <c r="B42" s="6"/>
      <c r="C42" s="6"/>
      <c r="D42" s="6"/>
      <c r="E42" s="6"/>
      <c r="F42" s="6"/>
      <c r="G42" s="6"/>
      <c r="H42" s="9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x14ac:dyDescent="0.3">
      <c r="A43" s="6"/>
      <c r="B43" s="6"/>
      <c r="C43" s="6"/>
      <c r="D43" s="6"/>
      <c r="E43" s="6"/>
      <c r="F43" s="6"/>
      <c r="G43" s="6"/>
      <c r="H43" s="9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x14ac:dyDescent="0.3">
      <c r="A44" s="6"/>
      <c r="B44" s="6"/>
      <c r="C44" s="6"/>
      <c r="D44" s="6"/>
      <c r="E44" s="6"/>
      <c r="F44" s="6"/>
      <c r="G44" s="6"/>
      <c r="H44" s="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x14ac:dyDescent="0.3">
      <c r="A45" s="6"/>
      <c r="B45" s="6"/>
      <c r="C45" s="6"/>
      <c r="D45" s="6"/>
      <c r="E45" s="6"/>
      <c r="F45" s="6"/>
      <c r="G45" s="6"/>
      <c r="H45" s="13">
        <f>H13+H28+H41</f>
        <v>10635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x14ac:dyDescent="0.3">
      <c r="A46" s="6"/>
      <c r="B46" s="6"/>
      <c r="C46" s="6"/>
      <c r="D46" s="6"/>
      <c r="E46" s="6"/>
      <c r="F46" s="6"/>
      <c r="G46" s="6"/>
      <c r="H46" s="10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</sheetData>
  <mergeCells count="3">
    <mergeCell ref="A2:C2"/>
    <mergeCell ref="A17:C17"/>
    <mergeCell ref="A30:C30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E2EF-1101-4A17-8851-DBDA9BC960F2}">
  <dimension ref="A2:L87"/>
  <sheetViews>
    <sheetView tabSelected="1" workbookViewId="0">
      <selection activeCell="J96" sqref="J96"/>
    </sheetView>
  </sheetViews>
  <sheetFormatPr defaultRowHeight="14.4" x14ac:dyDescent="0.3"/>
  <cols>
    <col min="1" max="1" width="10.44140625" bestFit="1" customWidth="1"/>
    <col min="2" max="2" width="11.5546875" bestFit="1" customWidth="1"/>
    <col min="3" max="3" width="10.6640625" bestFit="1" customWidth="1"/>
    <col min="6" max="6" width="9.88671875" bestFit="1" customWidth="1"/>
    <col min="7" max="7" width="13.44140625" bestFit="1" customWidth="1"/>
    <col min="12" max="12" width="11.21875" bestFit="1" customWidth="1"/>
  </cols>
  <sheetData>
    <row r="2" spans="1:12" x14ac:dyDescent="0.3">
      <c r="B2" t="s">
        <v>16</v>
      </c>
      <c r="D2" t="s">
        <v>17</v>
      </c>
      <c r="L2" s="1">
        <f>B8*C4*0.2</f>
        <v>3750</v>
      </c>
    </row>
    <row r="3" spans="1:12" x14ac:dyDescent="0.3">
      <c r="B3" t="s">
        <v>14</v>
      </c>
      <c r="C3">
        <v>500</v>
      </c>
      <c r="L3" s="3">
        <f>-B8*C3*0.2</f>
        <v>-2500</v>
      </c>
    </row>
    <row r="4" spans="1:12" x14ac:dyDescent="0.3">
      <c r="B4" t="s">
        <v>15</v>
      </c>
      <c r="C4">
        <v>750</v>
      </c>
      <c r="L4" s="1">
        <f>B8*10*0.2</f>
        <v>50</v>
      </c>
    </row>
    <row r="5" spans="1:12" x14ac:dyDescent="0.3">
      <c r="B5" t="s">
        <v>18</v>
      </c>
      <c r="C5">
        <v>480</v>
      </c>
      <c r="D5" t="s">
        <v>19</v>
      </c>
    </row>
    <row r="8" spans="1:12" x14ac:dyDescent="0.3">
      <c r="A8" s="17" t="s">
        <v>6</v>
      </c>
      <c r="B8" s="17">
        <v>25</v>
      </c>
      <c r="C8" s="16"/>
      <c r="D8" s="16"/>
      <c r="E8" s="16"/>
      <c r="F8" s="16"/>
      <c r="G8" s="16"/>
    </row>
    <row r="9" spans="1:12" x14ac:dyDescent="0.3">
      <c r="A9" s="21" t="s">
        <v>8</v>
      </c>
      <c r="B9" s="21"/>
      <c r="C9" s="21"/>
      <c r="D9" s="17" t="s">
        <v>2</v>
      </c>
      <c r="E9" s="17" t="s">
        <v>7</v>
      </c>
      <c r="F9" s="17" t="s">
        <v>11</v>
      </c>
      <c r="G9" s="17"/>
    </row>
    <row r="10" spans="1:12" x14ac:dyDescent="0.3">
      <c r="A10" s="17"/>
      <c r="B10" s="17"/>
      <c r="C10" s="17"/>
      <c r="D10" s="17"/>
      <c r="E10" s="17"/>
      <c r="F10" s="17"/>
      <c r="G10" s="17"/>
    </row>
    <row r="11" spans="1:12" x14ac:dyDescent="0.3">
      <c r="A11" s="17">
        <v>1</v>
      </c>
      <c r="B11" s="18">
        <v>46085</v>
      </c>
      <c r="C11" s="17" t="s">
        <v>0</v>
      </c>
      <c r="D11" s="17" t="s">
        <v>4</v>
      </c>
      <c r="E11" s="17" t="s">
        <v>3</v>
      </c>
      <c r="F11" s="17" t="s">
        <v>3</v>
      </c>
      <c r="G11" s="19">
        <f>L2</f>
        <v>3750</v>
      </c>
    </row>
    <row r="12" spans="1:12" x14ac:dyDescent="0.3">
      <c r="A12" s="17">
        <v>2</v>
      </c>
      <c r="B12" s="18">
        <v>46086</v>
      </c>
      <c r="C12" s="17" t="s">
        <v>0</v>
      </c>
      <c r="D12" s="17" t="s">
        <v>4</v>
      </c>
      <c r="E12" s="17" t="s">
        <v>3</v>
      </c>
      <c r="F12" s="17" t="s">
        <v>3</v>
      </c>
      <c r="G12" s="19">
        <f>L2</f>
        <v>3750</v>
      </c>
    </row>
    <row r="13" spans="1:12" x14ac:dyDescent="0.3">
      <c r="A13" s="17">
        <v>3</v>
      </c>
      <c r="B13" s="18">
        <v>46087</v>
      </c>
      <c r="C13" s="17" t="s">
        <v>0</v>
      </c>
      <c r="D13" s="17" t="s">
        <v>4</v>
      </c>
      <c r="E13" s="17" t="s">
        <v>3</v>
      </c>
      <c r="F13" s="17" t="s">
        <v>3</v>
      </c>
      <c r="G13" s="19">
        <f>L2</f>
        <v>3750</v>
      </c>
    </row>
    <row r="14" spans="1:12" x14ac:dyDescent="0.3">
      <c r="A14" s="17">
        <v>4</v>
      </c>
      <c r="B14" s="18">
        <v>46090</v>
      </c>
      <c r="C14" s="17" t="s">
        <v>0</v>
      </c>
      <c r="D14" s="17" t="s">
        <v>4</v>
      </c>
      <c r="E14" s="17" t="s">
        <v>3</v>
      </c>
      <c r="F14" s="17" t="s">
        <v>3</v>
      </c>
      <c r="G14" s="19">
        <f>L2</f>
        <v>3750</v>
      </c>
    </row>
    <row r="15" spans="1:12" x14ac:dyDescent="0.3">
      <c r="A15" s="17">
        <v>5</v>
      </c>
      <c r="B15" s="18">
        <v>46091</v>
      </c>
      <c r="C15" s="17" t="s">
        <v>1</v>
      </c>
      <c r="D15" s="17" t="s">
        <v>3</v>
      </c>
      <c r="E15" s="17" t="s">
        <v>4</v>
      </c>
      <c r="F15" s="17" t="s">
        <v>4</v>
      </c>
      <c r="G15" s="20">
        <f>L3</f>
        <v>-2500</v>
      </c>
    </row>
    <row r="16" spans="1:12" x14ac:dyDescent="0.3">
      <c r="A16" s="17">
        <v>6</v>
      </c>
      <c r="B16" s="18">
        <v>46092</v>
      </c>
      <c r="C16" s="17" t="s">
        <v>1</v>
      </c>
      <c r="D16" s="17" t="s">
        <v>4</v>
      </c>
      <c r="E16" s="17" t="s">
        <v>3</v>
      </c>
      <c r="F16" s="17" t="s">
        <v>3</v>
      </c>
      <c r="G16" s="19">
        <f>L2</f>
        <v>3750</v>
      </c>
    </row>
    <row r="17" spans="1:7" x14ac:dyDescent="0.3">
      <c r="A17" s="17">
        <v>7</v>
      </c>
      <c r="B17" s="18">
        <v>46093</v>
      </c>
      <c r="C17" s="17" t="s">
        <v>1</v>
      </c>
      <c r="D17" s="17" t="s">
        <v>3</v>
      </c>
      <c r="E17" s="17" t="s">
        <v>4</v>
      </c>
      <c r="F17" s="17" t="s">
        <v>4</v>
      </c>
      <c r="G17" s="20">
        <f>L3</f>
        <v>-2500</v>
      </c>
    </row>
    <row r="18" spans="1:7" x14ac:dyDescent="0.3">
      <c r="A18" s="17">
        <v>8</v>
      </c>
      <c r="B18" s="18">
        <v>46094</v>
      </c>
      <c r="C18" s="17" t="s">
        <v>1</v>
      </c>
      <c r="D18" s="17" t="s">
        <v>4</v>
      </c>
      <c r="E18" s="17" t="s">
        <v>3</v>
      </c>
      <c r="F18" s="17" t="s">
        <v>4</v>
      </c>
      <c r="G18" s="19">
        <f>L4</f>
        <v>50</v>
      </c>
    </row>
    <row r="19" spans="1:7" x14ac:dyDescent="0.3">
      <c r="A19" s="17">
        <v>9</v>
      </c>
      <c r="B19" s="17" t="s">
        <v>12</v>
      </c>
      <c r="C19" s="17" t="s">
        <v>0</v>
      </c>
      <c r="D19" s="17" t="s">
        <v>4</v>
      </c>
      <c r="E19" s="17" t="s">
        <v>3</v>
      </c>
      <c r="F19" s="17" t="s">
        <v>3</v>
      </c>
      <c r="G19" s="19">
        <f>L2</f>
        <v>3750</v>
      </c>
    </row>
    <row r="20" spans="1:7" x14ac:dyDescent="0.3">
      <c r="A20" s="17">
        <v>10</v>
      </c>
      <c r="B20" s="18">
        <v>46098</v>
      </c>
      <c r="C20" s="17" t="s">
        <v>1</v>
      </c>
      <c r="D20" s="17" t="s">
        <v>3</v>
      </c>
      <c r="E20" s="17" t="s">
        <v>4</v>
      </c>
      <c r="F20" s="17" t="s">
        <v>4</v>
      </c>
      <c r="G20" s="20">
        <f>L3</f>
        <v>-2500</v>
      </c>
    </row>
    <row r="21" spans="1:7" x14ac:dyDescent="0.3">
      <c r="A21" s="17">
        <v>11</v>
      </c>
      <c r="B21" s="18">
        <v>46099</v>
      </c>
      <c r="C21" s="17" t="s">
        <v>1</v>
      </c>
      <c r="D21" s="17" t="s">
        <v>4</v>
      </c>
      <c r="E21" s="17" t="s">
        <v>3</v>
      </c>
      <c r="F21" s="17" t="s">
        <v>3</v>
      </c>
      <c r="G21" s="19">
        <f>L2</f>
        <v>3750</v>
      </c>
    </row>
    <row r="22" spans="1:7" x14ac:dyDescent="0.3">
      <c r="A22" s="17">
        <v>12</v>
      </c>
      <c r="B22" s="18">
        <v>46100</v>
      </c>
      <c r="C22" s="17" t="s">
        <v>1</v>
      </c>
      <c r="D22" s="17" t="s">
        <v>4</v>
      </c>
      <c r="E22" s="17" t="s">
        <v>3</v>
      </c>
      <c r="F22" s="17" t="s">
        <v>3</v>
      </c>
      <c r="G22" s="19">
        <f>L2</f>
        <v>3750</v>
      </c>
    </row>
    <row r="23" spans="1:7" x14ac:dyDescent="0.3">
      <c r="A23" s="17">
        <v>13</v>
      </c>
      <c r="B23" s="18">
        <v>46101</v>
      </c>
      <c r="C23" s="17" t="s">
        <v>0</v>
      </c>
      <c r="D23" s="17" t="s">
        <v>4</v>
      </c>
      <c r="E23" s="17" t="s">
        <v>3</v>
      </c>
      <c r="F23" s="17" t="s">
        <v>4</v>
      </c>
      <c r="G23" s="19">
        <f>L4</f>
        <v>50</v>
      </c>
    </row>
    <row r="24" spans="1:7" x14ac:dyDescent="0.3">
      <c r="A24" s="17">
        <v>14</v>
      </c>
      <c r="B24" s="18">
        <v>46104</v>
      </c>
      <c r="C24" s="17" t="s">
        <v>0</v>
      </c>
      <c r="D24" s="17" t="s">
        <v>3</v>
      </c>
      <c r="E24" s="17" t="s">
        <v>4</v>
      </c>
      <c r="F24" s="17" t="s">
        <v>4</v>
      </c>
      <c r="G24" s="20">
        <f>L3</f>
        <v>-2500</v>
      </c>
    </row>
    <row r="25" spans="1:7" x14ac:dyDescent="0.3">
      <c r="A25" s="17">
        <v>15</v>
      </c>
      <c r="B25" s="18">
        <v>46105</v>
      </c>
      <c r="C25" s="17" t="s">
        <v>1</v>
      </c>
      <c r="D25" s="17" t="s">
        <v>3</v>
      </c>
      <c r="E25" s="17" t="s">
        <v>4</v>
      </c>
      <c r="F25" s="17" t="s">
        <v>4</v>
      </c>
      <c r="G25" s="20">
        <f>L3</f>
        <v>-2500</v>
      </c>
    </row>
    <row r="26" spans="1:7" x14ac:dyDescent="0.3">
      <c r="A26" s="17">
        <v>16</v>
      </c>
      <c r="B26" s="18">
        <v>46106</v>
      </c>
      <c r="C26" s="17" t="s">
        <v>1</v>
      </c>
      <c r="D26" s="17" t="s">
        <v>4</v>
      </c>
      <c r="E26" s="17" t="s">
        <v>3</v>
      </c>
      <c r="F26" s="17" t="s">
        <v>3</v>
      </c>
      <c r="G26" s="19">
        <f>L2</f>
        <v>3750</v>
      </c>
    </row>
    <row r="27" spans="1:7" x14ac:dyDescent="0.3">
      <c r="A27" s="17">
        <v>17</v>
      </c>
      <c r="B27" s="18">
        <v>46107</v>
      </c>
      <c r="C27" s="17" t="s">
        <v>1</v>
      </c>
      <c r="D27" s="17" t="s">
        <v>4</v>
      </c>
      <c r="E27" s="17" t="s">
        <v>3</v>
      </c>
      <c r="F27" s="17" t="s">
        <v>3</v>
      </c>
      <c r="G27" s="19">
        <f>L2</f>
        <v>3750</v>
      </c>
    </row>
    <row r="28" spans="1:7" x14ac:dyDescent="0.3">
      <c r="A28" s="17">
        <v>18</v>
      </c>
      <c r="B28" s="18">
        <v>46108</v>
      </c>
      <c r="C28" s="17" t="s">
        <v>0</v>
      </c>
      <c r="D28" s="17" t="s">
        <v>3</v>
      </c>
      <c r="E28" s="17" t="s">
        <v>4</v>
      </c>
      <c r="F28" s="17" t="s">
        <v>4</v>
      </c>
      <c r="G28" s="20">
        <f>L3</f>
        <v>-2500</v>
      </c>
    </row>
    <row r="29" spans="1:7" x14ac:dyDescent="0.3">
      <c r="A29" s="17">
        <v>19</v>
      </c>
      <c r="B29" s="18">
        <v>46111</v>
      </c>
      <c r="C29" s="17" t="s">
        <v>0</v>
      </c>
      <c r="D29" s="17" t="s">
        <v>4</v>
      </c>
      <c r="E29" s="17" t="s">
        <v>3</v>
      </c>
      <c r="F29" s="17" t="s">
        <v>3</v>
      </c>
      <c r="G29" s="19">
        <f>L2</f>
        <v>3750</v>
      </c>
    </row>
    <row r="30" spans="1:7" x14ac:dyDescent="0.3">
      <c r="A30" s="17">
        <v>20</v>
      </c>
      <c r="B30" s="18">
        <v>46112</v>
      </c>
      <c r="C30" s="17" t="s">
        <v>0</v>
      </c>
      <c r="D30" s="17" t="s">
        <v>4</v>
      </c>
      <c r="E30" s="17" t="s">
        <v>3</v>
      </c>
      <c r="F30" s="17" t="s">
        <v>3</v>
      </c>
      <c r="G30" s="19">
        <f>L2</f>
        <v>3750</v>
      </c>
    </row>
    <row r="31" spans="1:7" x14ac:dyDescent="0.3">
      <c r="A31" s="17"/>
      <c r="B31" s="18"/>
      <c r="C31" s="17"/>
      <c r="D31" s="17"/>
      <c r="E31" s="17"/>
      <c r="F31" s="17"/>
      <c r="G31" s="19"/>
    </row>
    <row r="32" spans="1:7" ht="15.6" x14ac:dyDescent="0.3">
      <c r="A32" s="17"/>
      <c r="B32" s="17"/>
      <c r="C32" s="17"/>
      <c r="D32" s="17"/>
      <c r="E32" s="17"/>
      <c r="F32" s="17"/>
      <c r="G32" s="4">
        <f>SUM(G11:G29)</f>
        <v>26350</v>
      </c>
    </row>
    <row r="33" spans="1:7" x14ac:dyDescent="0.3">
      <c r="A33" s="17"/>
      <c r="B33" s="17"/>
      <c r="C33" s="17"/>
      <c r="D33" s="17"/>
      <c r="E33" s="17"/>
      <c r="F33" s="17"/>
      <c r="G33" s="19"/>
    </row>
    <row r="34" spans="1:7" x14ac:dyDescent="0.3">
      <c r="A34" s="17"/>
      <c r="B34" s="17"/>
      <c r="C34" s="17"/>
      <c r="D34" s="17" t="s">
        <v>2</v>
      </c>
      <c r="E34" s="17" t="s">
        <v>7</v>
      </c>
      <c r="F34" s="17" t="s">
        <v>11</v>
      </c>
      <c r="G34" s="19"/>
    </row>
    <row r="35" spans="1:7" x14ac:dyDescent="0.3">
      <c r="A35" s="17">
        <v>1</v>
      </c>
      <c r="B35" s="18">
        <v>46122</v>
      </c>
      <c r="C35" s="17" t="s">
        <v>0</v>
      </c>
      <c r="D35" s="17" t="s">
        <v>4</v>
      </c>
      <c r="E35" s="17" t="s">
        <v>3</v>
      </c>
      <c r="F35" s="17" t="s">
        <v>3</v>
      </c>
      <c r="G35" s="19">
        <f>L2</f>
        <v>3750</v>
      </c>
    </row>
    <row r="36" spans="1:7" x14ac:dyDescent="0.3">
      <c r="A36" s="17">
        <v>2</v>
      </c>
      <c r="B36" s="18">
        <v>46127</v>
      </c>
      <c r="C36" s="17" t="s">
        <v>1</v>
      </c>
      <c r="D36" s="17" t="s">
        <v>3</v>
      </c>
      <c r="E36" s="17" t="s">
        <v>4</v>
      </c>
      <c r="F36" s="17" t="s">
        <v>4</v>
      </c>
      <c r="G36" s="20">
        <f>L3</f>
        <v>-2500</v>
      </c>
    </row>
    <row r="37" spans="1:7" x14ac:dyDescent="0.3">
      <c r="A37" s="17">
        <v>3</v>
      </c>
      <c r="B37" s="18">
        <v>46129</v>
      </c>
      <c r="C37" s="17" t="s">
        <v>1</v>
      </c>
      <c r="D37" s="17" t="s">
        <v>3</v>
      </c>
      <c r="E37" s="17" t="s">
        <v>4</v>
      </c>
      <c r="F37" s="17" t="s">
        <v>4</v>
      </c>
      <c r="G37" s="20">
        <f>L3</f>
        <v>-2500</v>
      </c>
    </row>
    <row r="38" spans="1:7" x14ac:dyDescent="0.3">
      <c r="A38" s="17">
        <v>4</v>
      </c>
      <c r="B38" s="18">
        <v>46134</v>
      </c>
      <c r="C38" s="17" t="s">
        <v>1</v>
      </c>
      <c r="D38" s="17" t="s">
        <v>3</v>
      </c>
      <c r="E38" s="17" t="s">
        <v>4</v>
      </c>
      <c r="F38" s="17" t="s">
        <v>4</v>
      </c>
      <c r="G38" s="20">
        <f>L3</f>
        <v>-2500</v>
      </c>
    </row>
    <row r="39" spans="1:7" x14ac:dyDescent="0.3">
      <c r="A39" s="17">
        <v>5</v>
      </c>
      <c r="B39" s="18">
        <v>46135</v>
      </c>
      <c r="C39" s="17" t="s">
        <v>0</v>
      </c>
      <c r="D39" s="17" t="s">
        <v>4</v>
      </c>
      <c r="E39" s="17" t="s">
        <v>3</v>
      </c>
      <c r="F39" s="17" t="s">
        <v>4</v>
      </c>
      <c r="G39" s="19">
        <f>L4</f>
        <v>50</v>
      </c>
    </row>
    <row r="40" spans="1:7" x14ac:dyDescent="0.3">
      <c r="A40" s="17">
        <v>6</v>
      </c>
      <c r="B40" s="18">
        <v>46139</v>
      </c>
      <c r="C40" s="17" t="s">
        <v>1</v>
      </c>
      <c r="D40" s="17" t="s">
        <v>4</v>
      </c>
      <c r="E40" s="17" t="s">
        <v>3</v>
      </c>
      <c r="F40" s="17" t="s">
        <v>4</v>
      </c>
      <c r="G40" s="19">
        <f>L4</f>
        <v>50</v>
      </c>
    </row>
    <row r="41" spans="1:7" x14ac:dyDescent="0.3">
      <c r="A41" s="17">
        <v>7</v>
      </c>
      <c r="B41" s="18">
        <v>46140</v>
      </c>
      <c r="C41" s="17" t="s">
        <v>1</v>
      </c>
      <c r="D41" s="17" t="s">
        <v>4</v>
      </c>
      <c r="E41" s="17" t="s">
        <v>3</v>
      </c>
      <c r="F41" s="17" t="s">
        <v>3</v>
      </c>
      <c r="G41" s="19">
        <f>L2</f>
        <v>3750</v>
      </c>
    </row>
    <row r="42" spans="1:7" x14ac:dyDescent="0.3">
      <c r="A42" s="17">
        <v>8</v>
      </c>
      <c r="B42" s="18">
        <v>46141</v>
      </c>
      <c r="C42" s="17" t="s">
        <v>1</v>
      </c>
      <c r="D42" s="17" t="s">
        <v>4</v>
      </c>
      <c r="E42" s="17" t="s">
        <v>3</v>
      </c>
      <c r="F42" s="17" t="s">
        <v>3</v>
      </c>
      <c r="G42" s="19">
        <f>L2</f>
        <v>3750</v>
      </c>
    </row>
    <row r="43" spans="1:7" ht="15.6" x14ac:dyDescent="0.3">
      <c r="A43" s="17"/>
      <c r="B43" s="18"/>
      <c r="C43" s="17"/>
      <c r="D43" s="17"/>
      <c r="E43" s="17"/>
      <c r="F43" s="17"/>
      <c r="G43" s="4">
        <f>SUM(G35:G42)</f>
        <v>3850</v>
      </c>
    </row>
    <row r="44" spans="1:7" x14ac:dyDescent="0.3">
      <c r="A44" s="17"/>
      <c r="B44" s="18"/>
      <c r="C44" s="17"/>
      <c r="D44" s="17"/>
      <c r="E44" s="17"/>
      <c r="F44" s="17"/>
      <c r="G44" s="19"/>
    </row>
    <row r="45" spans="1:7" x14ac:dyDescent="0.3">
      <c r="A45" s="17"/>
      <c r="B45" s="18"/>
      <c r="C45" s="17"/>
      <c r="D45" s="17" t="s">
        <v>2</v>
      </c>
      <c r="E45" s="17" t="s">
        <v>7</v>
      </c>
      <c r="F45" s="17" t="s">
        <v>11</v>
      </c>
      <c r="G45" s="19"/>
    </row>
    <row r="46" spans="1:7" x14ac:dyDescent="0.3">
      <c r="A46" s="17">
        <v>1</v>
      </c>
      <c r="B46" s="18">
        <v>46146</v>
      </c>
      <c r="C46" s="17" t="s">
        <v>13</v>
      </c>
      <c r="D46" s="17" t="s">
        <v>3</v>
      </c>
      <c r="E46" s="17" t="s">
        <v>4</v>
      </c>
      <c r="F46" s="17" t="s">
        <v>4</v>
      </c>
      <c r="G46" s="20">
        <f>L3</f>
        <v>-2500</v>
      </c>
    </row>
    <row r="47" spans="1:7" x14ac:dyDescent="0.3">
      <c r="A47" s="17">
        <v>2</v>
      </c>
      <c r="B47" s="18">
        <v>46149</v>
      </c>
      <c r="C47" s="17" t="s">
        <v>1</v>
      </c>
      <c r="D47" s="17" t="s">
        <v>4</v>
      </c>
      <c r="E47" s="17" t="s">
        <v>3</v>
      </c>
      <c r="F47" s="17" t="s">
        <v>3</v>
      </c>
      <c r="G47" s="19">
        <f>L2</f>
        <v>3750</v>
      </c>
    </row>
    <row r="48" spans="1:7" x14ac:dyDescent="0.3">
      <c r="A48" s="17">
        <v>3</v>
      </c>
      <c r="B48" s="18">
        <v>46150</v>
      </c>
      <c r="C48" s="17" t="s">
        <v>13</v>
      </c>
      <c r="D48" s="17" t="s">
        <v>4</v>
      </c>
      <c r="E48" s="17" t="s">
        <v>3</v>
      </c>
      <c r="F48" s="17" t="s">
        <v>3</v>
      </c>
      <c r="G48" s="19">
        <f>L2</f>
        <v>3750</v>
      </c>
    </row>
    <row r="49" spans="1:7" x14ac:dyDescent="0.3">
      <c r="A49" s="17">
        <v>4</v>
      </c>
      <c r="B49" s="18">
        <v>46154</v>
      </c>
      <c r="C49" s="17" t="s">
        <v>1</v>
      </c>
      <c r="D49" s="17" t="s">
        <v>4</v>
      </c>
      <c r="E49" s="17" t="s">
        <v>3</v>
      </c>
      <c r="F49" s="17" t="s">
        <v>3</v>
      </c>
      <c r="G49" s="19">
        <f>L2</f>
        <v>3750</v>
      </c>
    </row>
    <row r="50" spans="1:7" x14ac:dyDescent="0.3">
      <c r="A50" s="17">
        <v>5</v>
      </c>
      <c r="B50" s="18">
        <v>46157</v>
      </c>
      <c r="C50" s="17" t="s">
        <v>1</v>
      </c>
      <c r="D50" s="17" t="s">
        <v>4</v>
      </c>
      <c r="E50" s="17" t="s">
        <v>3</v>
      </c>
      <c r="F50" s="17" t="s">
        <v>3</v>
      </c>
      <c r="G50" s="19">
        <f>L2</f>
        <v>3750</v>
      </c>
    </row>
    <row r="51" spans="1:7" x14ac:dyDescent="0.3">
      <c r="A51" s="17">
        <v>6</v>
      </c>
      <c r="B51" s="18">
        <v>46161</v>
      </c>
      <c r="C51" s="17" t="s">
        <v>1</v>
      </c>
      <c r="D51" s="17" t="s">
        <v>4</v>
      </c>
      <c r="E51" s="17" t="s">
        <v>3</v>
      </c>
      <c r="F51" s="17" t="s">
        <v>3</v>
      </c>
      <c r="G51" s="19">
        <f>L2</f>
        <v>3750</v>
      </c>
    </row>
    <row r="52" spans="1:7" x14ac:dyDescent="0.3">
      <c r="A52" s="17">
        <v>7</v>
      </c>
      <c r="B52" s="18">
        <v>46162</v>
      </c>
      <c r="C52" s="17" t="s">
        <v>13</v>
      </c>
      <c r="D52" s="17" t="s">
        <v>4</v>
      </c>
      <c r="E52" s="17" t="s">
        <v>3</v>
      </c>
      <c r="F52" s="17" t="s">
        <v>3</v>
      </c>
      <c r="G52" s="19">
        <f>L2</f>
        <v>3750</v>
      </c>
    </row>
    <row r="53" spans="1:7" x14ac:dyDescent="0.3">
      <c r="A53" s="17">
        <v>8</v>
      </c>
      <c r="B53" s="18">
        <v>46163</v>
      </c>
      <c r="C53" s="17" t="s">
        <v>1</v>
      </c>
      <c r="D53" s="17" t="s">
        <v>4</v>
      </c>
      <c r="E53" s="17" t="s">
        <v>3</v>
      </c>
      <c r="F53" s="17" t="s">
        <v>4</v>
      </c>
      <c r="G53" s="19">
        <f>L4</f>
        <v>50</v>
      </c>
    </row>
    <row r="54" spans="1:7" x14ac:dyDescent="0.3">
      <c r="A54" s="17">
        <v>9</v>
      </c>
      <c r="B54" s="18">
        <v>46164</v>
      </c>
      <c r="C54" s="17" t="s">
        <v>13</v>
      </c>
      <c r="D54" s="17" t="s">
        <v>3</v>
      </c>
      <c r="E54" s="17" t="s">
        <v>4</v>
      </c>
      <c r="F54" s="17" t="s">
        <v>4</v>
      </c>
      <c r="G54" s="20">
        <f>L3</f>
        <v>-2500</v>
      </c>
    </row>
    <row r="55" spans="1:7" x14ac:dyDescent="0.3">
      <c r="A55" s="17">
        <v>10</v>
      </c>
      <c r="B55" s="18">
        <v>46167</v>
      </c>
      <c r="C55" s="17" t="s">
        <v>1</v>
      </c>
      <c r="D55" s="17" t="s">
        <v>4</v>
      </c>
      <c r="E55" s="17" t="s">
        <v>3</v>
      </c>
      <c r="F55" s="17" t="s">
        <v>4</v>
      </c>
      <c r="G55" s="19">
        <f>L4</f>
        <v>50</v>
      </c>
    </row>
    <row r="56" spans="1:7" x14ac:dyDescent="0.3">
      <c r="A56" s="17">
        <v>11</v>
      </c>
      <c r="B56" s="18">
        <v>46168</v>
      </c>
      <c r="C56" s="17" t="s">
        <v>13</v>
      </c>
      <c r="D56" s="17" t="s">
        <v>3</v>
      </c>
      <c r="E56" s="17" t="s">
        <v>4</v>
      </c>
      <c r="F56" s="17" t="s">
        <v>4</v>
      </c>
      <c r="G56" s="20">
        <f>L3</f>
        <v>-2500</v>
      </c>
    </row>
    <row r="57" spans="1:7" x14ac:dyDescent="0.3">
      <c r="A57" s="17">
        <v>12</v>
      </c>
      <c r="B57" s="18">
        <v>46169</v>
      </c>
      <c r="C57" s="17" t="s">
        <v>13</v>
      </c>
      <c r="D57" s="17" t="s">
        <v>4</v>
      </c>
      <c r="E57" s="17" t="s">
        <v>3</v>
      </c>
      <c r="F57" s="17" t="s">
        <v>3</v>
      </c>
      <c r="G57" s="19">
        <f>L2</f>
        <v>3750</v>
      </c>
    </row>
    <row r="58" spans="1:7" x14ac:dyDescent="0.3">
      <c r="A58" s="17">
        <v>13</v>
      </c>
      <c r="B58" s="18">
        <v>46170</v>
      </c>
      <c r="C58" s="17" t="s">
        <v>13</v>
      </c>
      <c r="D58" s="17" t="s">
        <v>4</v>
      </c>
      <c r="E58" s="17" t="s">
        <v>3</v>
      </c>
      <c r="F58" s="17" t="s">
        <v>3</v>
      </c>
      <c r="G58" s="19">
        <f>L2</f>
        <v>3750</v>
      </c>
    </row>
    <row r="59" spans="1:7" x14ac:dyDescent="0.3">
      <c r="A59" s="17">
        <v>14</v>
      </c>
      <c r="B59" s="18">
        <v>46171</v>
      </c>
      <c r="C59" s="17" t="s">
        <v>1</v>
      </c>
      <c r="D59" s="17" t="s">
        <v>4</v>
      </c>
      <c r="E59" s="17" t="s">
        <v>3</v>
      </c>
      <c r="F59" s="17" t="s">
        <v>3</v>
      </c>
      <c r="G59" s="19">
        <f>L2</f>
        <v>3750</v>
      </c>
    </row>
    <row r="60" spans="1:7" x14ac:dyDescent="0.3">
      <c r="A60" s="17"/>
      <c r="B60" s="17"/>
      <c r="C60" s="17"/>
      <c r="D60" s="17"/>
      <c r="E60" s="17"/>
      <c r="F60" s="17"/>
      <c r="G60" s="15"/>
    </row>
    <row r="61" spans="1:7" ht="15.6" x14ac:dyDescent="0.3">
      <c r="A61" s="16"/>
      <c r="B61" s="16"/>
      <c r="C61" s="16"/>
      <c r="D61" s="16"/>
      <c r="E61" s="16"/>
      <c r="F61" s="16"/>
      <c r="G61" s="4">
        <f>SUM(G46:G60)</f>
        <v>26350</v>
      </c>
    </row>
    <row r="64" spans="1:7" x14ac:dyDescent="0.3">
      <c r="A64" s="17"/>
      <c r="B64" s="18"/>
      <c r="C64" s="17"/>
      <c r="D64" s="17" t="s">
        <v>2</v>
      </c>
      <c r="E64" s="17" t="s">
        <v>7</v>
      </c>
      <c r="F64" s="17" t="s">
        <v>11</v>
      </c>
      <c r="G64" s="19"/>
    </row>
    <row r="65" spans="1:7" x14ac:dyDescent="0.3">
      <c r="A65" s="17">
        <v>1</v>
      </c>
      <c r="B65" s="18">
        <v>46175</v>
      </c>
      <c r="C65" s="17" t="s">
        <v>0</v>
      </c>
      <c r="D65" s="17" t="s">
        <v>4</v>
      </c>
      <c r="E65" s="17" t="s">
        <v>3</v>
      </c>
      <c r="F65" s="17" t="s">
        <v>4</v>
      </c>
      <c r="G65" s="19">
        <f>L4</f>
        <v>50</v>
      </c>
    </row>
    <row r="66" spans="1:7" x14ac:dyDescent="0.3">
      <c r="A66" s="17">
        <v>2</v>
      </c>
      <c r="B66" s="18">
        <v>46176</v>
      </c>
      <c r="C66" s="17" t="s">
        <v>1</v>
      </c>
      <c r="D66" s="17" t="s">
        <v>4</v>
      </c>
      <c r="E66" s="17" t="s">
        <v>3</v>
      </c>
      <c r="F66" s="17" t="s">
        <v>3</v>
      </c>
      <c r="G66" s="19">
        <f>L2</f>
        <v>3750</v>
      </c>
    </row>
    <row r="67" spans="1:7" x14ac:dyDescent="0.3">
      <c r="A67" s="17">
        <v>3</v>
      </c>
      <c r="B67" s="18">
        <v>46178</v>
      </c>
      <c r="C67" s="17" t="s">
        <v>0</v>
      </c>
      <c r="D67" s="17" t="s">
        <v>3</v>
      </c>
      <c r="E67" s="17" t="s">
        <v>4</v>
      </c>
      <c r="F67" s="17" t="s">
        <v>4</v>
      </c>
      <c r="G67" s="20">
        <f>L3</f>
        <v>-2500</v>
      </c>
    </row>
    <row r="68" spans="1:7" x14ac:dyDescent="0.3">
      <c r="A68" s="17">
        <v>4</v>
      </c>
      <c r="B68" s="18">
        <v>46182</v>
      </c>
      <c r="C68" s="17" t="s">
        <v>0</v>
      </c>
      <c r="D68" s="17" t="s">
        <v>4</v>
      </c>
      <c r="E68" s="17" t="s">
        <v>3</v>
      </c>
      <c r="F68" s="17" t="s">
        <v>3</v>
      </c>
      <c r="G68" s="19">
        <f>L2</f>
        <v>3750</v>
      </c>
    </row>
    <row r="69" spans="1:7" x14ac:dyDescent="0.3">
      <c r="A69" s="17">
        <v>5</v>
      </c>
      <c r="B69" s="18">
        <v>46183</v>
      </c>
      <c r="C69" s="17" t="s">
        <v>1</v>
      </c>
      <c r="D69" s="17" t="s">
        <v>3</v>
      </c>
      <c r="E69" s="17" t="s">
        <v>4</v>
      </c>
      <c r="F69" s="17" t="s">
        <v>4</v>
      </c>
      <c r="G69" s="20">
        <f>L3</f>
        <v>-2500</v>
      </c>
    </row>
    <row r="70" spans="1:7" x14ac:dyDescent="0.3">
      <c r="A70" s="17">
        <v>6</v>
      </c>
      <c r="B70" s="18">
        <v>46184</v>
      </c>
      <c r="C70" s="17" t="s">
        <v>1</v>
      </c>
      <c r="D70" s="17" t="s">
        <v>4</v>
      </c>
      <c r="E70" s="17" t="s">
        <v>3</v>
      </c>
      <c r="F70" s="17" t="s">
        <v>3</v>
      </c>
      <c r="G70" s="19">
        <f>L2</f>
        <v>3750</v>
      </c>
    </row>
    <row r="71" spans="1:7" x14ac:dyDescent="0.3">
      <c r="A71" s="17">
        <v>7</v>
      </c>
      <c r="B71" s="18">
        <v>46185</v>
      </c>
      <c r="C71" s="17" t="s">
        <v>1</v>
      </c>
      <c r="D71" s="17" t="s">
        <v>3</v>
      </c>
      <c r="E71" s="17" t="s">
        <v>4</v>
      </c>
      <c r="F71" s="17" t="s">
        <v>4</v>
      </c>
      <c r="G71" s="20">
        <f>L3</f>
        <v>-2500</v>
      </c>
    </row>
    <row r="72" spans="1:7" x14ac:dyDescent="0.3">
      <c r="A72" s="17">
        <v>8</v>
      </c>
      <c r="B72" s="18">
        <v>46188</v>
      </c>
      <c r="C72" s="17" t="s">
        <v>0</v>
      </c>
      <c r="D72" s="17" t="s">
        <v>4</v>
      </c>
      <c r="E72" s="17" t="s">
        <v>3</v>
      </c>
      <c r="F72" s="17" t="s">
        <v>3</v>
      </c>
      <c r="G72" s="19">
        <f>L2</f>
        <v>3750</v>
      </c>
    </row>
    <row r="73" spans="1:7" x14ac:dyDescent="0.3">
      <c r="A73" s="17">
        <v>9</v>
      </c>
      <c r="B73" s="18">
        <v>46189</v>
      </c>
      <c r="C73" s="17" t="s">
        <v>1</v>
      </c>
      <c r="D73" s="17" t="s">
        <v>4</v>
      </c>
      <c r="E73" s="17" t="s">
        <v>3</v>
      </c>
      <c r="F73" s="17" t="s">
        <v>3</v>
      </c>
      <c r="G73" s="19">
        <f>L2</f>
        <v>3750</v>
      </c>
    </row>
    <row r="74" spans="1:7" x14ac:dyDescent="0.3">
      <c r="A74" s="17">
        <v>10</v>
      </c>
      <c r="B74" s="18">
        <v>46190</v>
      </c>
      <c r="C74" s="17" t="s">
        <v>0</v>
      </c>
      <c r="D74" s="17" t="s">
        <v>4</v>
      </c>
      <c r="E74" s="17" t="s">
        <v>3</v>
      </c>
      <c r="F74" s="17" t="s">
        <v>3</v>
      </c>
      <c r="G74" s="19">
        <f>L2</f>
        <v>3750</v>
      </c>
    </row>
    <row r="75" spans="1:7" x14ac:dyDescent="0.3">
      <c r="A75" s="17">
        <v>11</v>
      </c>
      <c r="B75" s="18">
        <v>46191</v>
      </c>
      <c r="C75" s="17" t="s">
        <v>1</v>
      </c>
      <c r="D75" s="17" t="s">
        <v>3</v>
      </c>
      <c r="E75" s="17" t="s">
        <v>4</v>
      </c>
      <c r="F75" s="17" t="s">
        <v>4</v>
      </c>
      <c r="G75" s="20">
        <f>L3</f>
        <v>-2500</v>
      </c>
    </row>
    <row r="76" spans="1:7" x14ac:dyDescent="0.3">
      <c r="A76" s="17">
        <v>12</v>
      </c>
      <c r="B76" s="18">
        <v>46195</v>
      </c>
      <c r="C76" s="17" t="s">
        <v>1</v>
      </c>
      <c r="D76" s="17" t="s">
        <v>3</v>
      </c>
      <c r="E76" s="17" t="s">
        <v>4</v>
      </c>
      <c r="F76" s="17" t="s">
        <v>4</v>
      </c>
      <c r="G76" s="20">
        <f>L3</f>
        <v>-2500</v>
      </c>
    </row>
    <row r="77" spans="1:7" x14ac:dyDescent="0.3">
      <c r="A77" s="17"/>
      <c r="B77" s="18"/>
      <c r="C77" s="17"/>
      <c r="D77" s="17"/>
      <c r="E77" s="17"/>
      <c r="F77" s="17"/>
      <c r="G77" s="20"/>
    </row>
    <row r="78" spans="1:7" x14ac:dyDescent="0.3">
      <c r="A78" s="17"/>
      <c r="B78" s="17"/>
      <c r="C78" s="17"/>
      <c r="D78" s="17"/>
      <c r="E78" s="17"/>
      <c r="F78" s="17"/>
      <c r="G78" s="15"/>
    </row>
    <row r="79" spans="1:7" ht="15.6" x14ac:dyDescent="0.3">
      <c r="A79" s="16"/>
      <c r="B79" s="16"/>
      <c r="C79" s="16"/>
      <c r="D79" s="16"/>
      <c r="E79" s="16"/>
      <c r="F79" s="16"/>
      <c r="G79" s="4">
        <f>SUM(G65:G78)</f>
        <v>10050</v>
      </c>
    </row>
    <row r="87" spans="2:2" x14ac:dyDescent="0.3">
      <c r="B87" s="2">
        <f>G79+G61+G43+G32</f>
        <v>66600</v>
      </c>
    </row>
  </sheetData>
  <mergeCells count="1">
    <mergeCell ref="A9:C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Planilha4</vt:lpstr>
      <vt:lpstr>Hedge Indice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Pereira de Aquino Filho</dc:creator>
  <cp:lastModifiedBy>Jean Ribeiro</cp:lastModifiedBy>
  <dcterms:created xsi:type="dcterms:W3CDTF">2026-05-29T18:34:29Z</dcterms:created>
  <dcterms:modified xsi:type="dcterms:W3CDTF">2026-06-22T23:34:57Z</dcterms:modified>
</cp:coreProperties>
</file>